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jupyter\MASC576\Lab2\"/>
    </mc:Choice>
  </mc:AlternateContent>
  <xr:revisionPtr revIDLastSave="0" documentId="13_ncr:1_{FD9AF2EA-437C-4C56-93EA-D250BBF1E7C9}" xr6:coauthVersionLast="47" xr6:coauthVersionMax="47" xr10:uidLastSave="{00000000-0000-0000-0000-000000000000}"/>
  <bookViews>
    <workbookView xWindow="-21495" yWindow="3405" windowWidth="11280" windowHeight="9660" xr2:uid="{00000000-000D-0000-FFFF-FFFF00000000}"/>
  </bookViews>
  <sheets>
    <sheet name="main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2" i="3"/>
</calcChain>
</file>

<file path=xl/sharedStrings.xml><?xml version="1.0" encoding="utf-8"?>
<sst xmlns="http://schemas.openxmlformats.org/spreadsheetml/2006/main" count="90" uniqueCount="55">
  <si>
    <t>Size</t>
  </si>
  <si>
    <t>Temp</t>
  </si>
  <si>
    <t>Time(ns)</t>
  </si>
  <si>
    <t>Fitting Range</t>
  </si>
  <si>
    <t>Notes</t>
  </si>
  <si>
    <t>Item</t>
  </si>
  <si>
    <t>Value</t>
  </si>
  <si>
    <t>A_slab (A^2)</t>
  </si>
  <si>
    <t>slab cross-sectional area</t>
  </si>
  <si>
    <t>A_slab (m^2)</t>
  </si>
  <si>
    <t>SI unit</t>
  </si>
  <si>
    <t>eheat per event (eV)</t>
  </si>
  <si>
    <t>from 0.00431*80</t>
  </si>
  <si>
    <t>heat every nsteps</t>
  </si>
  <si>
    <t>from fix heat</t>
  </si>
  <si>
    <t>timestep_relax (ps)</t>
  </si>
  <si>
    <t>in.relax</t>
  </si>
  <si>
    <t>J (W/m^2)</t>
  </si>
  <si>
    <t>1 ns → Δε=172.4 eV</t>
    <phoneticPr fontId="1" type="noConversion"/>
  </si>
  <si>
    <t>2 ns → Δε=344.8 eV</t>
    <phoneticPr fontId="1" type="noConversion"/>
  </si>
  <si>
    <t>3 ns → Δε=517.2 eV</t>
    <phoneticPr fontId="1" type="noConversion"/>
  </si>
  <si>
    <t>4 ns → Δε=689.6 eV</t>
    <phoneticPr fontId="1" type="noConversion"/>
  </si>
  <si>
    <t>same if all relax settings unchanged</t>
  </si>
  <si>
    <t>Quantity</t>
  </si>
  <si>
    <t>Raw unit</t>
  </si>
  <si>
    <t>Conversion</t>
  </si>
  <si>
    <t>Heat ΔQ</t>
  </si>
  <si>
    <t>eV</t>
  </si>
  <si>
    <t>J</t>
  </si>
  <si>
    <t>1 eV = 1.602176634E-19 J</t>
  </si>
  <si>
    <t>Area A</t>
  </si>
  <si>
    <t>A^2</t>
  </si>
  <si>
    <t>m^2</t>
  </si>
  <si>
    <t>1 A^2 = 1.0E-20 m^2</t>
  </si>
  <si>
    <t>Time t</t>
  </si>
  <si>
    <t>ps</t>
  </si>
  <si>
    <t>s</t>
  </si>
  <si>
    <t>1 ps = 1.0E-12 s</t>
  </si>
  <si>
    <t>Gradient dT/dx</t>
  </si>
  <si>
    <t>K/A</t>
  </si>
  <si>
    <t>K/m</t>
  </si>
  <si>
    <t>1 K/A = 1.0E10 K/m</t>
  </si>
  <si>
    <t>45-155</t>
  </si>
  <si>
    <t>95-305</t>
  </si>
  <si>
    <t>145-455</t>
  </si>
  <si>
    <t>Slope_last1 (K/A)</t>
  </si>
  <si>
    <t>Slope_last4avg (K/A)</t>
  </si>
  <si>
    <t>Intercept_last1 (K)</t>
  </si>
  <si>
    <t>Intercept_last4avg (K)</t>
  </si>
  <si>
    <t>K_last1 (W/m·K)</t>
  </si>
  <si>
    <t>K_last4avg (W/m·K)</t>
  </si>
  <si>
    <t>Time(s)</t>
    <phoneticPr fontId="1" type="noConversion"/>
  </si>
  <si>
    <t>Delta_epsilon (eV)</t>
    <phoneticPr fontId="1" type="noConversion"/>
  </si>
  <si>
    <t>Delta_epsilon (J)</t>
    <phoneticPr fontId="1" type="noConversion"/>
  </si>
  <si>
    <t>J (W/m^2)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</si>
</sst>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/>
    </xf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7A6B-2EE0-4D4D-9804-A47C99A80928}">
  <dimension ref="A1:O37"/>
  <sheetViews>
    <sheetView tabSelected="1" workbookViewId="0">
      <selection activeCell="F10" sqref="F10"/>
    </sheetView>
  </sheetViews>
  <sheetFormatPr defaultRowHeight="14.25"/>
  <cols>
    <col min="3" max="4" width="8.25" customWidth="1"/>
    <col min="5" max="5" width="15.25" customWidth="1"/>
    <col min="6" max="7" width="18" customWidth="1"/>
    <col min="8" max="8" width="15.875" customWidth="1"/>
    <col min="9" max="9" width="18.625" customWidth="1"/>
    <col min="10" max="10" width="19.375" customWidth="1"/>
    <col min="11" max="12" width="19.875" customWidth="1"/>
    <col min="13" max="13" width="15" customWidth="1"/>
    <col min="14" max="14" width="18" customWidth="1"/>
  </cols>
  <sheetData>
    <row r="1" spans="1:15">
      <c r="A1" s="1" t="s">
        <v>0</v>
      </c>
      <c r="B1" s="3" t="s">
        <v>1</v>
      </c>
      <c r="C1" s="3" t="s">
        <v>2</v>
      </c>
      <c r="D1" s="3" t="s">
        <v>51</v>
      </c>
      <c r="E1" s="1" t="s">
        <v>3</v>
      </c>
      <c r="F1" s="3" t="s">
        <v>52</v>
      </c>
      <c r="G1" s="3" t="s">
        <v>53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54</v>
      </c>
      <c r="M1" s="3" t="s">
        <v>49</v>
      </c>
      <c r="N1" s="3" t="s">
        <v>50</v>
      </c>
      <c r="O1" s="1" t="s">
        <v>4</v>
      </c>
    </row>
    <row r="2" spans="1:15">
      <c r="A2">
        <v>200</v>
      </c>
      <c r="B2">
        <v>300</v>
      </c>
      <c r="C2">
        <v>1</v>
      </c>
      <c r="D2" s="5">
        <v>1.0000000000000001E-9</v>
      </c>
      <c r="E2" s="7" t="s">
        <v>42</v>
      </c>
      <c r="F2">
        <v>344.8</v>
      </c>
      <c r="G2">
        <f>F2*1.602176634*0.0000000000000000001</f>
        <v>5.5243050340320004E-17</v>
      </c>
      <c r="H2">
        <v>-0.22789000000000001</v>
      </c>
      <c r="I2">
        <v>-0.226905</v>
      </c>
      <c r="J2">
        <v>414.375427</v>
      </c>
      <c r="K2">
        <v>409.67938500000002</v>
      </c>
      <c r="L2" s="5">
        <v>8800000000</v>
      </c>
      <c r="M2" s="5">
        <f>L2/ABS(H2*10000000000)</f>
        <v>3.8615121330466451</v>
      </c>
      <c r="N2" s="5">
        <f>L2/ABS(I2*10000000000)</f>
        <v>3.8782750490293294</v>
      </c>
    </row>
    <row r="3" spans="1:15">
      <c r="A3">
        <v>200</v>
      </c>
      <c r="B3">
        <v>300</v>
      </c>
      <c r="C3">
        <v>2</v>
      </c>
      <c r="D3" s="5">
        <v>2.0000000000000001E-9</v>
      </c>
      <c r="E3" s="7" t="s">
        <v>42</v>
      </c>
      <c r="F3">
        <v>689.6</v>
      </c>
      <c r="G3">
        <f t="shared" ref="G3:G37" si="0">F3*1.602176634*0.0000000000000000001</f>
        <v>1.1048610068064001E-16</v>
      </c>
      <c r="H3">
        <v>-0.31551499999999999</v>
      </c>
      <c r="I3">
        <v>-0.25231500000000001</v>
      </c>
      <c r="J3">
        <v>449.23276800000002</v>
      </c>
      <c r="K3">
        <v>439.704815</v>
      </c>
      <c r="L3" s="5">
        <v>8800000000</v>
      </c>
      <c r="M3" s="5">
        <f t="shared" ref="M3:M37" si="1">L3/ABS(H3*10000000000)</f>
        <v>2.789090851465065</v>
      </c>
      <c r="N3" s="5">
        <f t="shared" ref="N3:N37" si="2">L3/ABS(I3*10000000000)</f>
        <v>3.4877038622356973</v>
      </c>
    </row>
    <row r="4" spans="1:15">
      <c r="A4">
        <v>200</v>
      </c>
      <c r="B4">
        <v>300</v>
      </c>
      <c r="C4">
        <v>3</v>
      </c>
      <c r="D4" s="5">
        <v>3E-9</v>
      </c>
      <c r="E4" s="7" t="s">
        <v>42</v>
      </c>
      <c r="F4">
        <v>1034.4000000000001</v>
      </c>
      <c r="G4">
        <f t="shared" si="0"/>
        <v>1.6572915102096004E-16</v>
      </c>
      <c r="H4">
        <v>-0.231132</v>
      </c>
      <c r="I4">
        <v>-0.22569900000000001</v>
      </c>
      <c r="J4">
        <v>455.48871500000001</v>
      </c>
      <c r="K4">
        <v>451.044443</v>
      </c>
      <c r="L4" s="5">
        <v>8800000000</v>
      </c>
      <c r="M4" s="5">
        <f t="shared" si="1"/>
        <v>3.8073481819912431</v>
      </c>
      <c r="N4" s="5">
        <f t="shared" si="2"/>
        <v>3.8989982232974003</v>
      </c>
    </row>
    <row r="5" spans="1:15">
      <c r="A5">
        <v>200</v>
      </c>
      <c r="B5">
        <v>300</v>
      </c>
      <c r="C5">
        <v>4</v>
      </c>
      <c r="D5" s="5">
        <v>4.0000000000000002E-9</v>
      </c>
      <c r="E5" s="7" t="s">
        <v>42</v>
      </c>
      <c r="F5">
        <v>1379.2</v>
      </c>
      <c r="G5">
        <f t="shared" si="0"/>
        <v>2.2097220136128002E-16</v>
      </c>
      <c r="H5">
        <v>-0.14210700000000001</v>
      </c>
      <c r="I5">
        <v>-0.165822</v>
      </c>
      <c r="J5">
        <v>454.94413400000002</v>
      </c>
      <c r="K5">
        <v>455.67114199999997</v>
      </c>
      <c r="L5" s="5">
        <v>8800000000</v>
      </c>
      <c r="M5" s="5">
        <f t="shared" si="1"/>
        <v>6.1925169062748493</v>
      </c>
      <c r="N5" s="5">
        <f t="shared" si="2"/>
        <v>5.3068953456115597</v>
      </c>
    </row>
    <row r="6" spans="1:15">
      <c r="A6">
        <v>200</v>
      </c>
      <c r="B6">
        <v>600</v>
      </c>
      <c r="C6">
        <v>1</v>
      </c>
      <c r="D6" s="5">
        <v>1.0000000000000001E-9</v>
      </c>
      <c r="E6" s="7" t="s">
        <v>42</v>
      </c>
      <c r="F6">
        <v>344.8</v>
      </c>
      <c r="G6">
        <f t="shared" si="0"/>
        <v>5.5243050340320004E-17</v>
      </c>
      <c r="H6">
        <v>-0.19867499999999999</v>
      </c>
      <c r="I6">
        <v>-0.201067</v>
      </c>
      <c r="J6">
        <v>637.55716399999994</v>
      </c>
      <c r="K6">
        <v>634.32969200000002</v>
      </c>
      <c r="L6" s="5">
        <v>8800000000</v>
      </c>
      <c r="M6" s="5">
        <f t="shared" si="1"/>
        <v>4.4293444066943497</v>
      </c>
      <c r="N6" s="5">
        <f t="shared" si="2"/>
        <v>4.3766505692132469</v>
      </c>
    </row>
    <row r="7" spans="1:15">
      <c r="A7">
        <v>200</v>
      </c>
      <c r="B7">
        <v>600</v>
      </c>
      <c r="C7">
        <v>2</v>
      </c>
      <c r="D7" s="5">
        <v>2.0000000000000001E-9</v>
      </c>
      <c r="E7" s="7" t="s">
        <v>42</v>
      </c>
      <c r="F7">
        <v>689.6</v>
      </c>
      <c r="G7">
        <f t="shared" si="0"/>
        <v>1.1048610068064001E-16</v>
      </c>
      <c r="H7">
        <v>-0.28706199999999998</v>
      </c>
      <c r="I7">
        <v>-0.238591</v>
      </c>
      <c r="J7">
        <v>672.74304600000005</v>
      </c>
      <c r="K7">
        <v>665.85614899999996</v>
      </c>
      <c r="L7" s="5">
        <v>8800000000</v>
      </c>
      <c r="M7" s="5">
        <f t="shared" si="1"/>
        <v>3.0655398485344629</v>
      </c>
      <c r="N7" s="5">
        <f t="shared" si="2"/>
        <v>3.6883201797217833</v>
      </c>
    </row>
    <row r="8" spans="1:15">
      <c r="A8">
        <v>200</v>
      </c>
      <c r="B8">
        <v>600</v>
      </c>
      <c r="C8">
        <v>3</v>
      </c>
      <c r="D8" s="5">
        <v>3E-9</v>
      </c>
      <c r="E8" s="7" t="s">
        <v>42</v>
      </c>
      <c r="F8">
        <v>1034.4000000000001</v>
      </c>
      <c r="G8">
        <f t="shared" si="0"/>
        <v>1.6572915102096004E-16</v>
      </c>
      <c r="H8">
        <v>-0.116865</v>
      </c>
      <c r="I8">
        <v>-0.12549299999999999</v>
      </c>
      <c r="J8">
        <v>667.56033600000001</v>
      </c>
      <c r="K8">
        <v>666.52612699999997</v>
      </c>
      <c r="L8" s="5">
        <v>8800000000</v>
      </c>
      <c r="M8" s="5">
        <f t="shared" si="1"/>
        <v>7.530056047576263</v>
      </c>
      <c r="N8" s="5">
        <f t="shared" si="2"/>
        <v>7.0123433179539898</v>
      </c>
    </row>
    <row r="9" spans="1:15">
      <c r="A9">
        <v>200</v>
      </c>
      <c r="B9">
        <v>600</v>
      </c>
      <c r="C9">
        <v>4</v>
      </c>
      <c r="D9" s="5">
        <v>4.0000000000000002E-9</v>
      </c>
      <c r="E9" s="7" t="s">
        <v>42</v>
      </c>
      <c r="F9">
        <v>1379.2</v>
      </c>
      <c r="G9">
        <f t="shared" si="0"/>
        <v>2.2097220136128002E-16</v>
      </c>
      <c r="H9">
        <v>-0.166962</v>
      </c>
      <c r="I9">
        <v>-0.14550299999999999</v>
      </c>
      <c r="J9">
        <v>680.90869499999997</v>
      </c>
      <c r="K9">
        <v>679.86291000000006</v>
      </c>
      <c r="L9" s="5">
        <v>8800000000</v>
      </c>
      <c r="M9" s="5">
        <f t="shared" si="1"/>
        <v>5.2706603897892936</v>
      </c>
      <c r="N9" s="5">
        <f t="shared" si="2"/>
        <v>6.0479852649086272</v>
      </c>
    </row>
    <row r="10" spans="1:15">
      <c r="A10">
        <v>200</v>
      </c>
      <c r="B10">
        <v>900</v>
      </c>
      <c r="C10">
        <v>1</v>
      </c>
      <c r="D10" s="5">
        <v>1.0000000000000001E-9</v>
      </c>
      <c r="E10" s="7" t="s">
        <v>42</v>
      </c>
      <c r="F10">
        <v>344.8</v>
      </c>
      <c r="G10">
        <f t="shared" si="0"/>
        <v>5.5243050340320004E-17</v>
      </c>
      <c r="H10">
        <v>-0.15815299999999999</v>
      </c>
      <c r="I10">
        <v>-0.12631999999999999</v>
      </c>
      <c r="J10">
        <v>947.61771299999998</v>
      </c>
      <c r="K10">
        <v>940.27626999999995</v>
      </c>
      <c r="L10" s="5">
        <v>8800000000</v>
      </c>
      <c r="M10" s="5">
        <f t="shared" si="1"/>
        <v>5.5642321043546445</v>
      </c>
      <c r="N10" s="5">
        <f t="shared" si="2"/>
        <v>6.9664344521849282</v>
      </c>
    </row>
    <row r="11" spans="1:15">
      <c r="A11">
        <v>200</v>
      </c>
      <c r="B11">
        <v>900</v>
      </c>
      <c r="C11">
        <v>2</v>
      </c>
      <c r="D11" s="5">
        <v>2.0000000000000001E-9</v>
      </c>
      <c r="E11" s="7" t="s">
        <v>42</v>
      </c>
      <c r="F11">
        <v>689.6</v>
      </c>
      <c r="G11">
        <f t="shared" si="0"/>
        <v>1.1048610068064001E-16</v>
      </c>
      <c r="H11">
        <v>-0.164799</v>
      </c>
      <c r="I11">
        <v>-0.106937</v>
      </c>
      <c r="J11">
        <v>965.25888399999997</v>
      </c>
      <c r="K11">
        <v>956.12585999999999</v>
      </c>
      <c r="L11" s="5">
        <v>8800000000</v>
      </c>
      <c r="M11" s="5">
        <f t="shared" si="1"/>
        <v>5.3398382271737086</v>
      </c>
      <c r="N11" s="5">
        <f t="shared" si="2"/>
        <v>8.2291442625097027</v>
      </c>
    </row>
    <row r="12" spans="1:15">
      <c r="A12">
        <v>200</v>
      </c>
      <c r="B12">
        <v>900</v>
      </c>
      <c r="C12">
        <v>3</v>
      </c>
      <c r="D12" s="5">
        <v>3E-9</v>
      </c>
      <c r="E12" s="7" t="s">
        <v>42</v>
      </c>
      <c r="F12">
        <v>1034.4000000000001</v>
      </c>
      <c r="G12">
        <f t="shared" si="0"/>
        <v>1.6572915102096004E-16</v>
      </c>
      <c r="H12" s="8">
        <v>4.2158000000000001E-2</v>
      </c>
      <c r="I12">
        <v>-0.198632</v>
      </c>
      <c r="J12">
        <v>947.93176600000004</v>
      </c>
      <c r="K12">
        <v>970.14447299999995</v>
      </c>
      <c r="L12" s="5">
        <v>8800000000</v>
      </c>
      <c r="M12" s="9">
        <f t="shared" si="1"/>
        <v>20.873855495991272</v>
      </c>
      <c r="N12" s="5">
        <f t="shared" si="2"/>
        <v>4.4303032743968744</v>
      </c>
    </row>
    <row r="13" spans="1:15">
      <c r="A13">
        <v>200</v>
      </c>
      <c r="B13">
        <v>900</v>
      </c>
      <c r="C13">
        <v>4</v>
      </c>
      <c r="D13" s="5">
        <v>4.0000000000000002E-9</v>
      </c>
      <c r="E13" s="7" t="s">
        <v>42</v>
      </c>
      <c r="F13">
        <v>1379.2</v>
      </c>
      <c r="G13">
        <f t="shared" si="0"/>
        <v>2.2097220136128002E-16</v>
      </c>
      <c r="H13">
        <v>-0.23779700000000001</v>
      </c>
      <c r="I13">
        <v>-0.17233399999999999</v>
      </c>
      <c r="J13">
        <v>978.15868899999998</v>
      </c>
      <c r="K13">
        <v>971.90768300000002</v>
      </c>
      <c r="L13" s="5">
        <v>8800000000</v>
      </c>
      <c r="M13" s="5">
        <f t="shared" si="1"/>
        <v>3.7006354159219841</v>
      </c>
      <c r="N13" s="5">
        <f t="shared" si="2"/>
        <v>5.1063632249004849</v>
      </c>
    </row>
    <row r="14" spans="1:15">
      <c r="A14">
        <v>400</v>
      </c>
      <c r="B14">
        <v>300</v>
      </c>
      <c r="C14">
        <v>1</v>
      </c>
      <c r="D14" s="5">
        <v>1.0000000000000001E-9</v>
      </c>
      <c r="E14" s="7" t="s">
        <v>43</v>
      </c>
      <c r="F14">
        <v>344.8</v>
      </c>
      <c r="G14">
        <f t="shared" si="0"/>
        <v>5.5243050340320004E-17</v>
      </c>
      <c r="H14">
        <v>-0.12765699999999999</v>
      </c>
      <c r="I14">
        <v>-0.193768</v>
      </c>
      <c r="J14">
        <v>440.23167599999999</v>
      </c>
      <c r="K14">
        <v>450.24726199999998</v>
      </c>
      <c r="L14" s="5">
        <v>8800000000</v>
      </c>
      <c r="M14" s="5">
        <f t="shared" si="1"/>
        <v>6.8934723516924254</v>
      </c>
      <c r="N14" s="5">
        <f t="shared" si="2"/>
        <v>4.5415135626109571</v>
      </c>
    </row>
    <row r="15" spans="1:15">
      <c r="A15">
        <v>400</v>
      </c>
      <c r="B15">
        <v>300</v>
      </c>
      <c r="C15">
        <v>2</v>
      </c>
      <c r="D15" s="5">
        <v>2.0000000000000001E-9</v>
      </c>
      <c r="E15" s="7" t="s">
        <v>43</v>
      </c>
      <c r="F15">
        <v>689.6</v>
      </c>
      <c r="G15">
        <f t="shared" si="0"/>
        <v>1.1048610068064001E-16</v>
      </c>
      <c r="H15">
        <v>-0.224355</v>
      </c>
      <c r="I15">
        <v>-0.19831199999999999</v>
      </c>
      <c r="J15">
        <v>479.39093500000001</v>
      </c>
      <c r="K15">
        <v>471.56421</v>
      </c>
      <c r="L15" s="5">
        <v>8800000000</v>
      </c>
      <c r="M15" s="5">
        <f t="shared" si="1"/>
        <v>3.9223551960063294</v>
      </c>
      <c r="N15" s="5">
        <f t="shared" si="2"/>
        <v>4.4374520956876031</v>
      </c>
    </row>
    <row r="16" spans="1:15">
      <c r="A16">
        <v>400</v>
      </c>
      <c r="B16">
        <v>300</v>
      </c>
      <c r="C16">
        <v>3</v>
      </c>
      <c r="D16" s="5">
        <v>3E-9</v>
      </c>
      <c r="E16" s="7" t="s">
        <v>43</v>
      </c>
      <c r="F16">
        <v>1034.4000000000001</v>
      </c>
      <c r="G16">
        <f t="shared" si="0"/>
        <v>1.6572915102096004E-16</v>
      </c>
      <c r="H16">
        <v>-0.228876</v>
      </c>
      <c r="I16">
        <v>-0.21002299999999999</v>
      </c>
      <c r="J16">
        <v>482.97278299999999</v>
      </c>
      <c r="K16">
        <v>478.85159199999998</v>
      </c>
      <c r="L16" s="5">
        <v>8800000000</v>
      </c>
      <c r="M16" s="5">
        <f t="shared" si="1"/>
        <v>3.8448767017948584</v>
      </c>
      <c r="N16" s="5">
        <f t="shared" si="2"/>
        <v>4.1900172838212963</v>
      </c>
    </row>
    <row r="17" spans="1:14">
      <c r="A17">
        <v>400</v>
      </c>
      <c r="B17">
        <v>300</v>
      </c>
      <c r="C17">
        <v>4</v>
      </c>
      <c r="D17" s="5">
        <v>4.0000000000000002E-9</v>
      </c>
      <c r="E17" s="7" t="s">
        <v>43</v>
      </c>
      <c r="F17">
        <v>1379.2</v>
      </c>
      <c r="G17">
        <f t="shared" si="0"/>
        <v>2.2097220136128002E-16</v>
      </c>
      <c r="H17">
        <v>-0.20349400000000001</v>
      </c>
      <c r="I17">
        <v>-0.16886300000000001</v>
      </c>
      <c r="J17">
        <v>484.873469</v>
      </c>
      <c r="K17">
        <v>477.21246400000001</v>
      </c>
      <c r="L17" s="5">
        <v>8800000000</v>
      </c>
      <c r="M17" s="5">
        <f t="shared" si="1"/>
        <v>4.324451826589482</v>
      </c>
      <c r="N17" s="5">
        <f t="shared" si="2"/>
        <v>5.2113251570799992</v>
      </c>
    </row>
    <row r="18" spans="1:14">
      <c r="A18">
        <v>400</v>
      </c>
      <c r="B18">
        <v>600</v>
      </c>
      <c r="C18">
        <v>1</v>
      </c>
      <c r="D18" s="5">
        <v>1.0000000000000001E-9</v>
      </c>
      <c r="E18" s="7" t="s">
        <v>43</v>
      </c>
      <c r="F18">
        <v>344.8</v>
      </c>
      <c r="G18">
        <f t="shared" si="0"/>
        <v>5.5243050340320004E-17</v>
      </c>
      <c r="H18">
        <v>-0.159051</v>
      </c>
      <c r="I18">
        <v>-0.15024599999999999</v>
      </c>
      <c r="J18">
        <v>642.96533699999998</v>
      </c>
      <c r="K18">
        <v>637.31100600000002</v>
      </c>
      <c r="L18" s="5">
        <v>8800000000</v>
      </c>
      <c r="M18" s="5">
        <f t="shared" si="1"/>
        <v>5.5328165179722228</v>
      </c>
      <c r="N18" s="5">
        <f t="shared" si="2"/>
        <v>5.8570610864848316</v>
      </c>
    </row>
    <row r="19" spans="1:14">
      <c r="A19">
        <v>400</v>
      </c>
      <c r="B19">
        <v>600</v>
      </c>
      <c r="C19">
        <v>2</v>
      </c>
      <c r="D19" s="5">
        <v>2.0000000000000001E-9</v>
      </c>
      <c r="E19" s="7" t="s">
        <v>43</v>
      </c>
      <c r="F19">
        <v>689.6</v>
      </c>
      <c r="G19">
        <f t="shared" si="0"/>
        <v>1.1048610068064001E-16</v>
      </c>
      <c r="H19">
        <v>-0.20326900000000001</v>
      </c>
      <c r="I19">
        <v>-0.19736999999999999</v>
      </c>
      <c r="J19">
        <v>668.11468500000001</v>
      </c>
      <c r="K19">
        <v>665.01423799999998</v>
      </c>
      <c r="L19" s="5">
        <v>8800000000</v>
      </c>
      <c r="M19" s="5">
        <f t="shared" si="1"/>
        <v>4.3292385951620762</v>
      </c>
      <c r="N19" s="5">
        <f t="shared" si="2"/>
        <v>4.4586309976186858</v>
      </c>
    </row>
    <row r="20" spans="1:14">
      <c r="A20">
        <v>400</v>
      </c>
      <c r="B20">
        <v>600</v>
      </c>
      <c r="C20">
        <v>3</v>
      </c>
      <c r="D20" s="5">
        <v>3E-9</v>
      </c>
      <c r="E20" s="7" t="s">
        <v>43</v>
      </c>
      <c r="F20">
        <v>1034.4000000000001</v>
      </c>
      <c r="G20">
        <f t="shared" si="0"/>
        <v>1.6572915102096004E-16</v>
      </c>
      <c r="H20">
        <v>-0.17493800000000001</v>
      </c>
      <c r="I20">
        <v>-0.19947000000000001</v>
      </c>
      <c r="J20">
        <v>671.64843299999995</v>
      </c>
      <c r="K20">
        <v>676.68629399999998</v>
      </c>
      <c r="L20" s="5">
        <v>8800000000</v>
      </c>
      <c r="M20" s="5">
        <f t="shared" si="1"/>
        <v>5.0303536109936093</v>
      </c>
      <c r="N20" s="5">
        <f t="shared" si="2"/>
        <v>4.4116909810999152</v>
      </c>
    </row>
    <row r="21" spans="1:14">
      <c r="A21">
        <v>400</v>
      </c>
      <c r="B21">
        <v>600</v>
      </c>
      <c r="C21">
        <v>4</v>
      </c>
      <c r="D21" s="5">
        <v>4.0000000000000002E-9</v>
      </c>
      <c r="E21" s="7" t="s">
        <v>43</v>
      </c>
      <c r="F21">
        <v>1379.2</v>
      </c>
      <c r="G21">
        <f t="shared" si="0"/>
        <v>2.2097220136128002E-16</v>
      </c>
      <c r="H21">
        <v>-0.16708700000000001</v>
      </c>
      <c r="I21">
        <v>-0.15719</v>
      </c>
      <c r="J21">
        <v>677.07118000000003</v>
      </c>
      <c r="K21">
        <v>672.75157899999999</v>
      </c>
      <c r="L21" s="5">
        <v>8800000000</v>
      </c>
      <c r="M21" s="5">
        <f t="shared" si="1"/>
        <v>5.2667173388713655</v>
      </c>
      <c r="N21" s="5">
        <f t="shared" si="2"/>
        <v>5.5983205038488455</v>
      </c>
    </row>
    <row r="22" spans="1:14">
      <c r="A22">
        <v>400</v>
      </c>
      <c r="B22">
        <v>900</v>
      </c>
      <c r="C22">
        <v>1</v>
      </c>
      <c r="D22" s="5">
        <v>1.0000000000000001E-9</v>
      </c>
      <c r="E22" s="7" t="s">
        <v>43</v>
      </c>
      <c r="F22">
        <v>344.8</v>
      </c>
      <c r="G22">
        <f t="shared" si="0"/>
        <v>5.5243050340320004E-17</v>
      </c>
      <c r="H22">
        <v>-0.186448</v>
      </c>
      <c r="I22">
        <v>-0.220771</v>
      </c>
      <c r="J22">
        <v>954.18573700000002</v>
      </c>
      <c r="K22">
        <v>957.24176999999997</v>
      </c>
      <c r="L22" s="5">
        <v>8800000000</v>
      </c>
      <c r="M22" s="5">
        <f t="shared" si="1"/>
        <v>4.7198146400068648</v>
      </c>
      <c r="N22" s="5">
        <f t="shared" si="2"/>
        <v>3.9860307739694072</v>
      </c>
    </row>
    <row r="23" spans="1:14">
      <c r="A23">
        <v>400</v>
      </c>
      <c r="B23">
        <v>900</v>
      </c>
      <c r="C23">
        <v>2</v>
      </c>
      <c r="D23" s="5">
        <v>2.0000000000000001E-9</v>
      </c>
      <c r="E23" s="7" t="s">
        <v>43</v>
      </c>
      <c r="F23">
        <v>689.6</v>
      </c>
      <c r="G23">
        <f t="shared" si="0"/>
        <v>1.1048610068064001E-16</v>
      </c>
      <c r="H23">
        <v>-0.100706</v>
      </c>
      <c r="I23">
        <v>-0.14080400000000001</v>
      </c>
      <c r="J23">
        <v>950.032195</v>
      </c>
      <c r="K23">
        <v>959.79349999999999</v>
      </c>
      <c r="L23" s="5">
        <v>8800000000</v>
      </c>
      <c r="M23" s="5">
        <f t="shared" si="1"/>
        <v>8.7383075487061355</v>
      </c>
      <c r="N23" s="5">
        <f t="shared" si="2"/>
        <v>6.2498224482259017</v>
      </c>
    </row>
    <row r="24" spans="1:14">
      <c r="A24">
        <v>400</v>
      </c>
      <c r="B24">
        <v>900</v>
      </c>
      <c r="C24">
        <v>3</v>
      </c>
      <c r="D24" s="5">
        <v>3E-9</v>
      </c>
      <c r="E24" s="7" t="s">
        <v>43</v>
      </c>
      <c r="F24">
        <v>1034.4000000000001</v>
      </c>
      <c r="G24">
        <f t="shared" si="0"/>
        <v>1.6572915102096004E-16</v>
      </c>
      <c r="H24">
        <v>-0.15660199999999999</v>
      </c>
      <c r="I24">
        <v>-0.15126800000000001</v>
      </c>
      <c r="J24">
        <v>979.26064699999995</v>
      </c>
      <c r="K24">
        <v>972.44041100000004</v>
      </c>
      <c r="L24" s="5">
        <v>8800000000</v>
      </c>
      <c r="M24" s="5">
        <f t="shared" si="1"/>
        <v>5.6193407491602914</v>
      </c>
      <c r="N24" s="5">
        <f t="shared" si="2"/>
        <v>5.8174894888542177</v>
      </c>
    </row>
    <row r="25" spans="1:14">
      <c r="A25">
        <v>400</v>
      </c>
      <c r="B25">
        <v>900</v>
      </c>
      <c r="C25">
        <v>4</v>
      </c>
      <c r="D25" s="5">
        <v>4.0000000000000002E-9</v>
      </c>
      <c r="E25" s="7" t="s">
        <v>43</v>
      </c>
      <c r="F25">
        <v>1379.2</v>
      </c>
      <c r="G25">
        <f t="shared" si="0"/>
        <v>2.2097220136128002E-16</v>
      </c>
      <c r="H25">
        <v>-0.20940300000000001</v>
      </c>
      <c r="I25">
        <v>-0.16839199999999999</v>
      </c>
      <c r="J25">
        <v>991.70495300000005</v>
      </c>
      <c r="K25">
        <v>984.07808699999998</v>
      </c>
      <c r="L25" s="5">
        <v>8800000000</v>
      </c>
      <c r="M25" s="5">
        <f t="shared" si="1"/>
        <v>4.2024230789434727</v>
      </c>
      <c r="N25" s="5">
        <f t="shared" si="2"/>
        <v>5.2259014680032312</v>
      </c>
    </row>
    <row r="26" spans="1:14">
      <c r="A26">
        <v>600</v>
      </c>
      <c r="B26">
        <v>300</v>
      </c>
      <c r="C26">
        <v>1</v>
      </c>
      <c r="D26" s="5">
        <v>1.0000000000000001E-9</v>
      </c>
      <c r="E26" s="7" t="s">
        <v>44</v>
      </c>
      <c r="F26">
        <v>344.8</v>
      </c>
      <c r="G26">
        <f t="shared" si="0"/>
        <v>5.5243050340320004E-17</v>
      </c>
      <c r="H26">
        <v>-0.183419</v>
      </c>
      <c r="I26">
        <v>-0.187227</v>
      </c>
      <c r="J26">
        <v>467.86468000000002</v>
      </c>
      <c r="K26">
        <v>466.01747699999999</v>
      </c>
      <c r="L26" s="5">
        <v>8800000000</v>
      </c>
      <c r="M26" s="5">
        <f t="shared" si="1"/>
        <v>4.7977581384698427</v>
      </c>
      <c r="N26" s="5">
        <f t="shared" si="2"/>
        <v>4.7001767907406515</v>
      </c>
    </row>
    <row r="27" spans="1:14">
      <c r="A27">
        <v>600</v>
      </c>
      <c r="B27">
        <v>300</v>
      </c>
      <c r="C27">
        <v>2</v>
      </c>
      <c r="D27" s="5">
        <v>2.0000000000000001E-9</v>
      </c>
      <c r="E27" s="7" t="s">
        <v>44</v>
      </c>
      <c r="F27">
        <v>689.6</v>
      </c>
      <c r="G27">
        <f t="shared" si="0"/>
        <v>1.1048610068064001E-16</v>
      </c>
      <c r="H27">
        <v>-0.18268699999999999</v>
      </c>
      <c r="I27">
        <v>-0.18890699999999999</v>
      </c>
      <c r="J27">
        <v>485.94119799999999</v>
      </c>
      <c r="K27">
        <v>485.61645800000002</v>
      </c>
      <c r="L27" s="5">
        <v>8800000000</v>
      </c>
      <c r="M27" s="5">
        <f t="shared" si="1"/>
        <v>4.8169820512680159</v>
      </c>
      <c r="N27" s="5">
        <f t="shared" si="2"/>
        <v>4.6583768732762678</v>
      </c>
    </row>
    <row r="28" spans="1:14">
      <c r="A28">
        <v>600</v>
      </c>
      <c r="B28">
        <v>300</v>
      </c>
      <c r="C28">
        <v>3</v>
      </c>
      <c r="D28" s="5">
        <v>3E-9</v>
      </c>
      <c r="E28" s="7" t="s">
        <v>44</v>
      </c>
      <c r="F28">
        <v>1034.4000000000001</v>
      </c>
      <c r="G28">
        <f t="shared" si="0"/>
        <v>1.6572915102096004E-16</v>
      </c>
      <c r="H28">
        <v>-0.177789</v>
      </c>
      <c r="I28">
        <v>-0.188889</v>
      </c>
      <c r="J28">
        <v>497.34859999999998</v>
      </c>
      <c r="K28">
        <v>498.05088599999999</v>
      </c>
      <c r="L28" s="5">
        <v>8800000000</v>
      </c>
      <c r="M28" s="5">
        <f t="shared" si="1"/>
        <v>4.9496875509733451</v>
      </c>
      <c r="N28" s="5">
        <f t="shared" si="2"/>
        <v>4.6588207889289475</v>
      </c>
    </row>
    <row r="29" spans="1:14">
      <c r="A29">
        <v>600</v>
      </c>
      <c r="B29">
        <v>300</v>
      </c>
      <c r="C29">
        <v>4</v>
      </c>
      <c r="D29" s="5">
        <v>4.0000000000000002E-9</v>
      </c>
      <c r="E29" s="7" t="s">
        <v>44</v>
      </c>
      <c r="F29">
        <v>1379.2</v>
      </c>
      <c r="G29">
        <f t="shared" si="0"/>
        <v>2.2097220136128002E-16</v>
      </c>
      <c r="H29">
        <v>-0.19739599999999999</v>
      </c>
      <c r="I29">
        <v>-0.188692</v>
      </c>
      <c r="J29">
        <v>513.69579599999997</v>
      </c>
      <c r="K29">
        <v>508.20552500000002</v>
      </c>
      <c r="L29" s="5">
        <v>8800000000</v>
      </c>
      <c r="M29" s="5">
        <f t="shared" si="1"/>
        <v>4.4580437293562181</v>
      </c>
      <c r="N29" s="5">
        <f t="shared" si="2"/>
        <v>4.6636847349119197</v>
      </c>
    </row>
    <row r="30" spans="1:14">
      <c r="A30">
        <v>600</v>
      </c>
      <c r="B30">
        <v>600</v>
      </c>
      <c r="C30">
        <v>1</v>
      </c>
      <c r="D30" s="5">
        <v>1.0000000000000001E-9</v>
      </c>
      <c r="E30" s="7" t="s">
        <v>44</v>
      </c>
      <c r="F30">
        <v>344.8</v>
      </c>
      <c r="G30">
        <f t="shared" si="0"/>
        <v>5.5243050340320004E-17</v>
      </c>
      <c r="H30">
        <v>-0.18831200000000001</v>
      </c>
      <c r="I30">
        <v>-0.17178299999999999</v>
      </c>
      <c r="J30">
        <v>657.97546199999999</v>
      </c>
      <c r="K30">
        <v>650.25400400000001</v>
      </c>
      <c r="L30" s="5">
        <v>8800000000</v>
      </c>
      <c r="M30" s="5">
        <f t="shared" si="1"/>
        <v>4.6730957134967497</v>
      </c>
      <c r="N30" s="5">
        <f t="shared" si="2"/>
        <v>5.1227420641157737</v>
      </c>
    </row>
    <row r="31" spans="1:14">
      <c r="A31">
        <v>600</v>
      </c>
      <c r="B31">
        <v>600</v>
      </c>
      <c r="C31">
        <v>2</v>
      </c>
      <c r="D31" s="5">
        <v>2.0000000000000001E-9</v>
      </c>
      <c r="E31" s="7" t="s">
        <v>44</v>
      </c>
      <c r="F31">
        <v>689.6</v>
      </c>
      <c r="G31">
        <f t="shared" si="0"/>
        <v>1.1048610068064001E-16</v>
      </c>
      <c r="H31">
        <v>-0.17522499999999999</v>
      </c>
      <c r="I31">
        <v>-0.19076399999999999</v>
      </c>
      <c r="J31">
        <v>672.02679000000001</v>
      </c>
      <c r="K31">
        <v>673.70934099999999</v>
      </c>
      <c r="L31" s="5">
        <v>8800000000</v>
      </c>
      <c r="M31" s="5">
        <f t="shared" si="1"/>
        <v>5.0221144243115994</v>
      </c>
      <c r="N31" s="5">
        <f t="shared" si="2"/>
        <v>4.6130297121050097</v>
      </c>
    </row>
    <row r="32" spans="1:14">
      <c r="A32">
        <v>600</v>
      </c>
      <c r="B32">
        <v>600</v>
      </c>
      <c r="C32">
        <v>3</v>
      </c>
      <c r="D32" s="5">
        <v>3E-9</v>
      </c>
      <c r="E32" s="7" t="s">
        <v>44</v>
      </c>
      <c r="F32">
        <v>1034.4000000000001</v>
      </c>
      <c r="G32">
        <f t="shared" si="0"/>
        <v>1.6572915102096004E-16</v>
      </c>
      <c r="H32">
        <v>-0.223859</v>
      </c>
      <c r="I32">
        <v>-0.21269099999999999</v>
      </c>
      <c r="J32">
        <v>695.01966500000003</v>
      </c>
      <c r="K32">
        <v>690.97752700000001</v>
      </c>
      <c r="L32" s="5">
        <v>8800000000</v>
      </c>
      <c r="M32" s="5">
        <f t="shared" si="1"/>
        <v>3.9310458815593745</v>
      </c>
      <c r="N32" s="5">
        <f t="shared" si="2"/>
        <v>4.1374576263217531</v>
      </c>
    </row>
    <row r="33" spans="1:14">
      <c r="A33">
        <v>600</v>
      </c>
      <c r="B33">
        <v>600</v>
      </c>
      <c r="C33">
        <v>4</v>
      </c>
      <c r="D33" s="5">
        <v>4.0000000000000002E-9</v>
      </c>
      <c r="E33" s="7" t="s">
        <v>44</v>
      </c>
      <c r="F33">
        <v>1379.2</v>
      </c>
      <c r="G33">
        <f t="shared" si="0"/>
        <v>2.2097220136128002E-16</v>
      </c>
      <c r="H33">
        <v>-0.231627</v>
      </c>
      <c r="I33">
        <v>-0.20941899999999999</v>
      </c>
      <c r="J33">
        <v>705.94165199999998</v>
      </c>
      <c r="K33">
        <v>698.60456099999999</v>
      </c>
      <c r="L33" s="5">
        <v>8800000000</v>
      </c>
      <c r="M33" s="5">
        <f t="shared" si="1"/>
        <v>3.7992116635798072</v>
      </c>
      <c r="N33" s="5">
        <f t="shared" si="2"/>
        <v>4.2021020060261964</v>
      </c>
    </row>
    <row r="34" spans="1:14">
      <c r="A34">
        <v>600</v>
      </c>
      <c r="B34">
        <v>900</v>
      </c>
      <c r="C34">
        <v>1</v>
      </c>
      <c r="D34" s="5">
        <v>1.0000000000000001E-9</v>
      </c>
      <c r="E34" s="7" t="s">
        <v>44</v>
      </c>
      <c r="F34">
        <v>344.8</v>
      </c>
      <c r="G34">
        <f t="shared" si="0"/>
        <v>5.5243050340320004E-17</v>
      </c>
      <c r="H34">
        <v>-0.24057000000000001</v>
      </c>
      <c r="I34">
        <v>-0.23185900000000001</v>
      </c>
      <c r="J34">
        <v>981.90117399999997</v>
      </c>
      <c r="K34">
        <v>978.37831800000004</v>
      </c>
      <c r="L34" s="5">
        <v>8800000000</v>
      </c>
      <c r="M34" s="5">
        <f t="shared" si="1"/>
        <v>3.6579789666209419</v>
      </c>
      <c r="N34" s="5">
        <f t="shared" si="2"/>
        <v>3.7954101415084169</v>
      </c>
    </row>
    <row r="35" spans="1:14">
      <c r="A35">
        <v>600</v>
      </c>
      <c r="B35">
        <v>900</v>
      </c>
      <c r="C35">
        <v>2</v>
      </c>
      <c r="D35" s="5">
        <v>2.0000000000000001E-9</v>
      </c>
      <c r="E35" s="7" t="s">
        <v>44</v>
      </c>
      <c r="F35">
        <v>689.6</v>
      </c>
      <c r="G35">
        <f t="shared" si="0"/>
        <v>1.1048610068064001E-16</v>
      </c>
      <c r="H35">
        <v>-0.224157</v>
      </c>
      <c r="I35">
        <v>-0.18862599999999999</v>
      </c>
      <c r="J35">
        <v>987.67957699999999</v>
      </c>
      <c r="K35">
        <v>977.47410200000002</v>
      </c>
      <c r="L35" s="5">
        <v>8800000000</v>
      </c>
      <c r="M35" s="5">
        <f t="shared" si="1"/>
        <v>3.9258198494804981</v>
      </c>
      <c r="N35" s="5">
        <f t="shared" si="2"/>
        <v>4.6653165523310678</v>
      </c>
    </row>
    <row r="36" spans="1:14">
      <c r="A36">
        <v>600</v>
      </c>
      <c r="B36">
        <v>900</v>
      </c>
      <c r="C36">
        <v>3</v>
      </c>
      <c r="D36" s="5">
        <v>3E-9</v>
      </c>
      <c r="E36" s="7" t="s">
        <v>44</v>
      </c>
      <c r="F36">
        <v>1034.4000000000001</v>
      </c>
      <c r="G36">
        <f t="shared" si="0"/>
        <v>1.6572915102096004E-16</v>
      </c>
      <c r="H36">
        <v>-0.215196</v>
      </c>
      <c r="I36">
        <v>-0.20216700000000001</v>
      </c>
      <c r="J36">
        <v>996.34881700000005</v>
      </c>
      <c r="K36">
        <v>992.92662700000005</v>
      </c>
      <c r="L36" s="5">
        <v>8800000000</v>
      </c>
      <c r="M36" s="5">
        <f t="shared" si="1"/>
        <v>4.0892953400620833</v>
      </c>
      <c r="N36" s="5">
        <f t="shared" si="2"/>
        <v>4.3528370109859669</v>
      </c>
    </row>
    <row r="37" spans="1:14">
      <c r="A37">
        <v>600</v>
      </c>
      <c r="B37">
        <v>900</v>
      </c>
      <c r="C37">
        <v>4</v>
      </c>
      <c r="D37" s="5">
        <v>4.0000000000000002E-9</v>
      </c>
      <c r="E37" s="7" t="s">
        <v>44</v>
      </c>
      <c r="F37">
        <v>1379.2</v>
      </c>
      <c r="G37">
        <f t="shared" si="0"/>
        <v>2.2097220136128002E-16</v>
      </c>
      <c r="H37">
        <v>-0.21161199999999999</v>
      </c>
      <c r="I37">
        <v>-0.197349</v>
      </c>
      <c r="J37">
        <v>1009.35555</v>
      </c>
      <c r="K37">
        <v>1001.76199</v>
      </c>
      <c r="L37" s="5">
        <v>8800000000</v>
      </c>
      <c r="M37" s="5">
        <f t="shared" si="1"/>
        <v>4.1585543352928944</v>
      </c>
      <c r="N37" s="5">
        <f t="shared" si="2"/>
        <v>4.4591054426422225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0AA1-4AAC-44DB-A43E-597AFD89FBCC}">
  <dimension ref="A1:D23"/>
  <sheetViews>
    <sheetView workbookViewId="0">
      <selection activeCell="E6" sqref="E6"/>
    </sheetView>
  </sheetViews>
  <sheetFormatPr defaultRowHeight="14.25"/>
  <cols>
    <col min="1" max="1" width="21.375" customWidth="1"/>
    <col min="2" max="2" width="16.5" customWidth="1"/>
    <col min="3" max="3" width="40" customWidth="1"/>
    <col min="4" max="4" width="37.5" customWidth="1"/>
  </cols>
  <sheetData>
    <row r="1" spans="1:3">
      <c r="A1" s="1" t="s">
        <v>5</v>
      </c>
      <c r="B1" s="3" t="s">
        <v>6</v>
      </c>
      <c r="C1" s="1" t="s">
        <v>4</v>
      </c>
    </row>
    <row r="2" spans="1:3">
      <c r="A2" s="4" t="s">
        <v>7</v>
      </c>
      <c r="B2" s="2">
        <v>627.78240000000005</v>
      </c>
      <c r="C2" s="4" t="s">
        <v>8</v>
      </c>
    </row>
    <row r="3" spans="1:3">
      <c r="A3" s="4" t="s">
        <v>9</v>
      </c>
      <c r="B3" s="6">
        <v>6.2778239999999997E-18</v>
      </c>
      <c r="C3" s="4" t="s">
        <v>10</v>
      </c>
    </row>
    <row r="4" spans="1:3">
      <c r="A4" s="4" t="s">
        <v>11</v>
      </c>
      <c r="B4" s="2">
        <v>0.3448</v>
      </c>
      <c r="C4" s="4" t="s">
        <v>12</v>
      </c>
    </row>
    <row r="5" spans="1:3">
      <c r="A5" s="4" t="s">
        <v>13</v>
      </c>
      <c r="B5" s="2">
        <v>1000</v>
      </c>
      <c r="C5" s="4" t="s">
        <v>14</v>
      </c>
    </row>
    <row r="6" spans="1:3">
      <c r="A6" s="4" t="s">
        <v>15</v>
      </c>
      <c r="B6" s="2">
        <v>1E-3</v>
      </c>
      <c r="C6" s="4" t="s">
        <v>16</v>
      </c>
    </row>
    <row r="7" spans="1:3">
      <c r="A7" s="4" t="s">
        <v>17</v>
      </c>
      <c r="B7" s="6">
        <v>8800000000</v>
      </c>
      <c r="C7" s="4" t="s">
        <v>22</v>
      </c>
    </row>
    <row r="10" spans="1:3">
      <c r="A10" t="s">
        <v>18</v>
      </c>
    </row>
    <row r="11" spans="1:3">
      <c r="A11" t="s">
        <v>19</v>
      </c>
    </row>
    <row r="12" spans="1:3">
      <c r="A12" t="s">
        <v>20</v>
      </c>
    </row>
    <row r="13" spans="1:3">
      <c r="A13" t="s">
        <v>21</v>
      </c>
    </row>
    <row r="19" spans="1:4">
      <c r="A19" s="1" t="s">
        <v>23</v>
      </c>
      <c r="B19" s="1" t="s">
        <v>24</v>
      </c>
      <c r="C19" s="1" t="s">
        <v>10</v>
      </c>
      <c r="D19" s="1" t="s">
        <v>25</v>
      </c>
    </row>
    <row r="20" spans="1:4">
      <c r="A20" s="4" t="s">
        <v>26</v>
      </c>
      <c r="B20" s="4" t="s">
        <v>27</v>
      </c>
      <c r="C20" s="4" t="s">
        <v>28</v>
      </c>
      <c r="D20" s="4" t="s">
        <v>29</v>
      </c>
    </row>
    <row r="21" spans="1:4">
      <c r="A21" s="4" t="s">
        <v>30</v>
      </c>
      <c r="B21" s="4" t="s">
        <v>31</v>
      </c>
      <c r="C21" s="4" t="s">
        <v>32</v>
      </c>
      <c r="D21" s="4" t="s">
        <v>33</v>
      </c>
    </row>
    <row r="22" spans="1:4">
      <c r="A22" s="4" t="s">
        <v>34</v>
      </c>
      <c r="B22" s="4" t="s">
        <v>35</v>
      </c>
      <c r="C22" s="4" t="s">
        <v>36</v>
      </c>
      <c r="D22" s="4" t="s">
        <v>37</v>
      </c>
    </row>
    <row r="23" spans="1:4">
      <c r="A23" s="4" t="s">
        <v>38</v>
      </c>
      <c r="B23" s="4" t="s">
        <v>39</v>
      </c>
      <c r="C23" s="4" t="s">
        <v>40</v>
      </c>
      <c r="D23" s="4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Linfeng Hu</dc:creator>
  <cp:lastModifiedBy>c28741</cp:lastModifiedBy>
  <dcterms:created xsi:type="dcterms:W3CDTF">2015-06-05T18:17:20Z</dcterms:created>
  <dcterms:modified xsi:type="dcterms:W3CDTF">2026-03-29T08:38:51Z</dcterms:modified>
</cp:coreProperties>
</file>