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01f1ffe94348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1_Final" sheetId="1" r:id="R45c8e218cba8478b"/>
    <x:sheet xmlns:r="http://schemas.openxmlformats.org/officeDocument/2006/relationships" name="Constants" sheetId="2" r:id="R511f6dfcffef439d"/>
    <x:sheet xmlns:r="http://schemas.openxmlformats.org/officeDocument/2006/relationships" name="Raw_Data" sheetId="3" r:id="Rdbca1bd84ddd44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0.000000E+00"/>
    <x:numFmt numFmtId="165" formatCode="0.0"/>
    <x:numFmt numFmtId="166" formatCode="0.000E+00"/>
    <x:numFmt numFmtId="167" formatCode="0.00000E+00"/>
    <x:numFmt numFmtId="168" formatCode="0.000000"/>
  </x:numFmts>
  <x:fonts count="3">
    <x:font>
      <x:sz val="11"/>
      <x:color theme="1"/>
      <x:name val="Calibri"/>
      <x:family val="2"/>
      <x:scheme val="minor"/>
    </x:font>
    <x:font>
      <x:b/>
      <x:sz val="12"/>
      <x:color rgb="00FFFFFF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3F6F9"/>
      </x:patternFill>
    </x:fill>
    <x:fill>
      <x:patternFill patternType="solid">
        <x:fgColor rgb="00D9EA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2" borderId="0" xfId="0" applyAlignment="1">
      <x:alignment horizontal="left" vertical="center" wrapText="1"/>
    </x:xf>
    <x:xf numFmtId="0" fontId="0" fillId="3" borderId="0" xfId="0" applyAlignment="1">
      <x:alignment horizontal="left" vertical="center" wrapText="1"/>
    </x:xf>
    <x:xf numFmtId="0" fontId="2" fillId="4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168" fontId="0" fillId="0" borderId="0" xfId="0" applyAlignment="1">
      <x:alignment horizontal="center" vertical="center" wrapText="1"/>
    </x:xf>
    <x:xf numFmtId="166" fontId="0" fillId="0" borderId="0" xfId="0" applyAlignment="1">
      <x:alignment horizontal="center" vertical="center" wrapText="1"/>
    </x:xf>
    <x:xf numFmtId="2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164" fontId="0" fillId="0" borderId="0" xfId="0" applyAlignment="1">
      <x:alignment horizontal="left" vertical="center" wrapText="1"/>
    </x:xf>
    <x:xf numFmtId="165" fontId="0" fillId="0" borderId="0" xfId="0" applyAlignment="1">
      <x:alignment horizontal="left" vertical="center" wrapText="1"/>
    </x:xf>
    <x:xf numFmtId="166" fontId="0" fillId="0" borderId="0" xfId="0" applyAlignment="1">
      <x:alignment horizontal="left" vertical="center" wrapText="1"/>
    </x:xf>
    <x:xf numFmtId="11" fontId="0" fillId="0" borderId="0" xfId="0" applyAlignment="1">
      <x:alignment horizontal="center" vertical="center" wrapText="1"/>
    </x:xf>
    <x:xf numFmtId="165" fontId="0" fillId="0" borderId="0" xfId="0" applyAlignment="1">
      <x:alignment horizontal="center" vertical="center" wrapText="1"/>
    </x:xf>
    <x:xf numFmtId="167" fontId="0" fillId="0" borderId="0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98ac06af204318" /><Relationship Type="http://schemas.openxmlformats.org/officeDocument/2006/relationships/theme" Target="/xl/theme/theme1.xml" Id="R893e2982dd624763" /><Relationship Type="http://schemas.openxmlformats.org/officeDocument/2006/relationships/sharedStrings" Target="/xl/sharedStrings.xml" Id="R6c1db032665f41b2" /><Relationship Type="http://schemas.openxmlformats.org/officeDocument/2006/relationships/worksheet" Target="/xl/worksheets/sheet1.xml" Id="R45c8e218cba8478b" /><Relationship Type="http://schemas.openxmlformats.org/officeDocument/2006/relationships/worksheet" Target="/xl/worksheets/sheet2.xml" Id="R511f6dfcffef439d" /><Relationship Type="http://schemas.openxmlformats.org/officeDocument/2006/relationships/worksheet" Target="/xl/worksheets/sheet3.xml" Id="Rdbca1bd84ddd4420" /></Relationships>
</file>

<file path=xl/tables/table1.xml><?xml version="1.0" encoding="utf-8"?>
<x:table xmlns:x="http://schemas.openxmlformats.org/spreadsheetml/2006/main" id="1" name="FinalTable1" displayName="FinalTable1" ref="A4:G13" headerRowCount="1">
  <x:autoFilter ref="A4:G13"/>
  <x:tableColumns count="7">
    <x:tableColumn id="1" name="Size (Å)"/>
    <x:tableColumn id="2" name="Temp (K)"/>
    <x:tableColumn id="3" name="Fitting Range (Å)"/>
    <x:tableColumn id="4" name="Slope, dT/dx (K/Å)"/>
    <x:tableColumn id="5" name="Slope, dT/dx (K/m)"/>
    <x:tableColumn id="6" name="Heat Flux, J (W/m²)"/>
    <x:tableColumn id="7" name="Thermal Conductivity, κ (W/m·K)"/>
  </x:tableColumns>
  <x:tableStyleInfo name="TableStyleMedium2" showRowStripes="1"/>
</x:table>
</file>

<file path=xl/tables/table2.xml><?xml version="1.0" encoding="utf-8"?>
<x:table xmlns:x="http://schemas.openxmlformats.org/spreadsheetml/2006/main" id="2" name="RawResults" displayName="RawResults" ref="A1:N37" headerRowCount="1">
  <x:autoFilter ref="A1:N37"/>
  <x:tableColumns count="14">
    <x:tableColumn id="1" name="Size"/>
    <x:tableColumn id="2" name="Temp"/>
    <x:tableColumn id="3" name="Time(ns)"/>
    <x:tableColumn id="4" name="Time(s)"/>
    <x:tableColumn id="5" name="Fitting Range"/>
    <x:tableColumn id="6" name="Delta_epsilon (eV)"/>
    <x:tableColumn id="7" name="Delta_epsilon (J)"/>
    <x:tableColumn id="8" name="Slope_last1 (K/A)"/>
    <x:tableColumn id="9" name="Slope_last4avg (K/A)"/>
    <x:tableColumn id="10" name="Intercept_last1 (K)"/>
    <x:tableColumn id="11" name="Intercept_last4avg (K)"/>
    <x:tableColumn id="12" name="K_last1 (W/m·K)"/>
    <x:tableColumn id="13" name="K_last4avg (W/m·K)"/>
    <x:tableColumn id="14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aa24203ee541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63a4390462455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0" customWidth="1"/>
    <x:col min="3" max="3" width="18" customWidth="1"/>
    <x:col min="4" max="4" width="20" customWidth="1"/>
    <x:col min="5" max="5" width="20" customWidth="1"/>
    <x:col min="6" max="6" width="18" customWidth="1"/>
    <x:col min="7" max="7" width="24" customWidth="1"/>
  </x:cols>
  <x:sheetData>
    <x:row r="1">
      <x:c r="A1" s="1" t="inlineStr">
        <x:is>
          <x:t xml:space="preserve">Table 1. Final fitted temperature gradients and calculated thermal conductivities</x:t>
        </x:is>
      </x:c>
    </x:row>
    <x:row r="2">
      <x:c r="A2" s="2" t="inlineStr">
        <x:is>
          <x:t xml:space="preserve">All values are based on the last 4-frame average after 4 ns relaxation.</x:t>
        </x:is>
      </x:c>
    </x:row>
    <x:row r="4">
      <x:c r="A4" s="3" t="inlineStr">
        <x:is>
          <x:t xml:space="preserve">Size (Å)</x:t>
        </x:is>
      </x:c>
      <x:c r="B4" s="3" t="inlineStr">
        <x:is>
          <x:t xml:space="preserve">Temp (K)</x:t>
        </x:is>
      </x:c>
      <x:c r="C4" s="3" t="inlineStr">
        <x:is>
          <x:t xml:space="preserve">Fitting Range (Å)</x:t>
        </x:is>
      </x:c>
      <x:c r="D4" s="3" t="inlineStr">
        <x:is>
          <x:t xml:space="preserve">Slope, dT/dx (K/Å)</x:t>
        </x:is>
      </x:c>
      <x:c r="E4" s="3" t="inlineStr">
        <x:is>
          <x:t xml:space="preserve">Slope, dT/dx (K/m)</x:t>
        </x:is>
      </x:c>
      <x:c r="F4" s="3" t="inlineStr">
        <x:is>
          <x:t xml:space="preserve">Heat Flux, J (W/m²)</x:t>
        </x:is>
      </x:c>
      <x:c r="G4" s="3" t="inlineStr">
        <x:is>
          <x:t xml:space="preserve">Thermal Conductivity, κ (W/m·K)</x:t>
        </x:is>
      </x:c>
    </x:row>
    <x:row r="5">
      <x:c r="A5" s="4">
        <x:f>Raw_Data!A5</x:f>
        <x:v>200</x:v>
      </x:c>
      <x:c r="B5" s="4">
        <x:f>Raw_Data!B5</x:f>
        <x:v>300</x:v>
      </x:c>
      <x:c r="C5" s="4" t="str">
        <x:f>Raw_Data!E5</x:f>
        <x:v>45-155</x:v>
      </x:c>
      <x:c r="D5" s="5">
        <x:f>Raw_Data!I5</x:f>
        <x:v>-0.165822</x:v>
      </x:c>
      <x:c r="E5" s="6">
        <x:f>D5*1E10</x:f>
        <x:v>-1658220000</x:v>
      </x:c>
      <x:c r="F5" s="6">
        <x:f>Constants!$B$5</x:f>
        <x:v>8799713139.508211</x:v>
      </x:c>
      <x:c r="G5" s="7">
        <x:f>F5/ABS(E5)</x:f>
        <x:v>5.306722352587842</x:v>
      </x:c>
    </x:row>
    <x:row r="6">
      <x:c r="A6" s="4">
        <x:f>Raw_Data!A9</x:f>
        <x:v>200</x:v>
      </x:c>
      <x:c r="B6" s="4">
        <x:f>Raw_Data!B9</x:f>
        <x:v>600</x:v>
      </x:c>
      <x:c r="C6" s="4" t="str">
        <x:f>Raw_Data!E9</x:f>
        <x:v>45-155</x:v>
      </x:c>
      <x:c r="D6" s="5">
        <x:f>Raw_Data!I9</x:f>
        <x:v>-0.145503</x:v>
      </x:c>
      <x:c r="E6" s="6">
        <x:f>D6*1E10</x:f>
        <x:v>-1455030000</x:v>
      </x:c>
      <x:c r="F6" s="6">
        <x:f>Constants!$B$5</x:f>
        <x:v>8799713139.508211</x:v>
      </x:c>
      <x:c r="G6" s="7">
        <x:f>F6/ABS(E6)</x:f>
        <x:v>6.04778811399642</x:v>
      </x:c>
    </x:row>
    <x:row r="7">
      <x:c r="A7" s="4">
        <x:f>Raw_Data!A13</x:f>
        <x:v>200</x:v>
      </x:c>
      <x:c r="B7" s="4">
        <x:f>Raw_Data!B13</x:f>
        <x:v>900</x:v>
      </x:c>
      <x:c r="C7" s="4" t="str">
        <x:f>Raw_Data!E13</x:f>
        <x:v>45-155</x:v>
      </x:c>
      <x:c r="D7" s="5">
        <x:f>Raw_Data!I13</x:f>
        <x:v>-0.172334</x:v>
      </x:c>
      <x:c r="E7" s="6">
        <x:f>D7*1E10</x:f>
        <x:v>-1723339999.9999998</x:v>
      </x:c>
      <x:c r="F7" s="6">
        <x:f>Constants!$B$5</x:f>
        <x:v>8799713139.508211</x:v>
      </x:c>
      <x:c r="G7" s="7">
        <x:f>F7/ABS(E7)</x:f>
        <x:v>5.106196768779355</x:v>
      </x:c>
    </x:row>
    <x:row r="8">
      <x:c r="A8" s="4">
        <x:f>Raw_Data!A17</x:f>
        <x:v>400</x:v>
      </x:c>
      <x:c r="B8" s="4">
        <x:f>Raw_Data!B17</x:f>
        <x:v>300</x:v>
      </x:c>
      <x:c r="C8" s="4" t="str">
        <x:f>Raw_Data!E17</x:f>
        <x:v>95-305</x:v>
      </x:c>
      <x:c r="D8" s="5">
        <x:f>Raw_Data!I17</x:f>
        <x:v>-0.168863</x:v>
      </x:c>
      <x:c r="E8" s="6">
        <x:f>D8*1E10</x:f>
        <x:v>-1688630000.0000002</x:v>
      </x:c>
      <x:c r="F8" s="6">
        <x:f>Constants!$B$5</x:f>
        <x:v>8799713139.508211</x:v>
      </x:c>
      <x:c r="G8" s="7">
        <x:f>F8/ABS(E8)</x:f>
        <x:v>5.211155279432564</x:v>
      </x:c>
    </x:row>
    <x:row r="9">
      <x:c r="A9" s="4">
        <x:f>Raw_Data!A21</x:f>
        <x:v>400</x:v>
      </x:c>
      <x:c r="B9" s="4">
        <x:f>Raw_Data!B21</x:f>
        <x:v>600</x:v>
      </x:c>
      <x:c r="C9" s="4" t="str">
        <x:f>Raw_Data!E21</x:f>
        <x:v>95-305</x:v>
      </x:c>
      <x:c r="D9" s="5">
        <x:f>Raw_Data!I21</x:f>
        <x:v>-0.15719</x:v>
      </x:c>
      <x:c r="E9" s="6">
        <x:f>D9*1E10</x:f>
        <x:v>-1571900000</x:v>
      </x:c>
      <x:c r="F9" s="6">
        <x:f>Constants!$B$5</x:f>
        <x:v>8799713139.508211</x:v>
      </x:c>
      <x:c r="G9" s="7">
        <x:f>F9/ABS(E9)</x:f>
        <x:v>5.598138011011013</x:v>
      </x:c>
    </x:row>
    <x:row r="10">
      <x:c r="A10" s="4">
        <x:f>Raw_Data!A25</x:f>
        <x:v>400</x:v>
      </x:c>
      <x:c r="B10" s="4">
        <x:f>Raw_Data!B25</x:f>
        <x:v>900</x:v>
      </x:c>
      <x:c r="C10" s="4" t="str">
        <x:f>Raw_Data!E25</x:f>
        <x:v>95-305</x:v>
      </x:c>
      <x:c r="D10" s="5">
        <x:f>Raw_Data!I25</x:f>
        <x:v>-0.168392</x:v>
      </x:c>
      <x:c r="E10" s="6">
        <x:f>D10*1E10</x:f>
        <x:v>-1683919999.9999998</x:v>
      </x:c>
      <x:c r="F10" s="6">
        <x:f>Constants!$B$5</x:f>
        <x:v>8799713139.508211</x:v>
      </x:c>
      <x:c r="G10" s="7">
        <x:f>F10/ABS(E10)</x:f>
        <x:v>5.225731115200373</x:v>
      </x:c>
    </x:row>
    <x:row r="11">
      <x:c r="A11" s="4">
        <x:f>Raw_Data!A29</x:f>
        <x:v>600</x:v>
      </x:c>
      <x:c r="B11" s="4">
        <x:f>Raw_Data!B29</x:f>
        <x:v>300</x:v>
      </x:c>
      <x:c r="C11" s="4" t="str">
        <x:f>Raw_Data!E29</x:f>
        <x:v>145-455</x:v>
      </x:c>
      <x:c r="D11" s="5">
        <x:f>Raw_Data!I29</x:f>
        <x:v>-0.188692</x:v>
      </x:c>
      <x:c r="E11" s="6">
        <x:f>D11*1E10</x:f>
        <x:v>-1886920000</x:v>
      </x:c>
      <x:c r="F11" s="6">
        <x:f>Constants!$B$5</x:f>
        <x:v>8799713139.508211</x:v>
      </x:c>
      <x:c r="G11" s="7">
        <x:f>F11/ABS(E11)</x:f>
        <x:v>4.663532709128215</x:v>
      </x:c>
    </x:row>
    <x:row r="12">
      <x:c r="A12" s="4">
        <x:f>Raw_Data!A33</x:f>
        <x:v>600</x:v>
      </x:c>
      <x:c r="B12" s="4">
        <x:f>Raw_Data!B33</x:f>
        <x:v>600</x:v>
      </x:c>
      <x:c r="C12" s="4" t="str">
        <x:f>Raw_Data!E33</x:f>
        <x:v>145-455</x:v>
      </x:c>
      <x:c r="D12" s="5">
        <x:f>Raw_Data!I33</x:f>
        <x:v>-0.209419</x:v>
      </x:c>
      <x:c r="E12" s="6">
        <x:f>D12*1E10</x:f>
        <x:v>-2094190000</x:v>
      </x:c>
      <x:c r="F12" s="6">
        <x:f>Constants!$B$5</x:f>
        <x:v>8799713139.508211</x:v>
      </x:c>
      <x:c r="G12" s="7">
        <x:f>F12/ABS(E12)</x:f>
        <x:v>4.201965026816197</x:v>
      </x:c>
    </x:row>
    <x:row r="13">
      <x:c r="A13" s="4">
        <x:f>Raw_Data!A37</x:f>
        <x:v>600</x:v>
      </x:c>
      <x:c r="B13" s="4">
        <x:f>Raw_Data!B37</x:f>
        <x:v>900</x:v>
      </x:c>
      <x:c r="C13" s="4" t="str">
        <x:f>Raw_Data!E37</x:f>
        <x:v>145-455</x:v>
      </x:c>
      <x:c r="D13" s="5">
        <x:f>Raw_Data!I37</x:f>
        <x:v>-0.197349</x:v>
      </x:c>
      <x:c r="E13" s="6">
        <x:f>D13*1E10</x:f>
        <x:v>-1973490000</x:v>
      </x:c>
      <x:c r="F13" s="6">
        <x:f>Constants!$B$5</x:f>
        <x:v>8799713139.508211</x:v>
      </x:c>
      <x:c r="G13" s="7">
        <x:f>F13/ABS(E13)</x:f>
        <x:v>4.458960085689926</x:v>
      </x:c>
    </x:row>
  </x:sheetData>
  <x:mergeCells>
    <x:mergeCell ref="A2:G2"/>
    <x:mergeCell ref="A1:G1"/>
  </x:mergeCells>
  <x:pageMargins left="0.7" right="0.7" top="0.75" bottom="0.75" header="0.3" footer="0.3"/>
  <x:tableParts count="1">
    <x:tablePart xmlns:r="http://schemas.openxmlformats.org/officeDocument/2006/relationships" r:id="Rf4aa24203ee541c9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8" customWidth="1"/>
    <x:col min="3" max="3" width="36" customWidth="1"/>
  </x:cols>
  <x:sheetData>
    <x:row r="1">
      <x:c r="A1" s="3" t="inlineStr">
        <x:is>
          <x:t xml:space="preserve">Parameter</x:t>
        </x:is>
      </x:c>
      <x:c r="B1" s="3" t="inlineStr">
        <x:is>
          <x:t xml:space="preserve">Value</x:t>
        </x:is>
      </x:c>
      <x:c r="C1" s="3" t="inlineStr">
        <x:is>
          <x:t xml:space="preserve">Notes</x:t>
        </x:is>
      </x:c>
    </x:row>
    <x:row r="2">
      <x:c r="A2" s="8" t="inlineStr">
        <x:is>
          <x:t xml:space="preserve">A_slab (m²)</x:t>
        </x:is>
      </x:c>
      <x:c r="B2" s="9" t="n">
        <x:v>6.277824e-18</x:v>
      </x:c>
      <x:c r="C2" s="8" t="inlineStr">
        <x:is>
          <x:t xml:space="preserve">Cross-sectional area of slab</x:t>
        </x:is>
      </x:c>
    </x:row>
    <x:row r="3">
      <x:c r="A3" s="8" t="inlineStr">
        <x:is>
          <x:t xml:space="preserve">eV_to_J</x:t>
        </x:is>
      </x:c>
      <x:c r="B3" s="9" t="n">
        <x:v>1.602176634e-19</x:v>
      </x:c>
      <x:c r="C3" s="8" t="inlineStr">
        <x:is>
          <x:t xml:space="preserve">1 eV in Joules</x:t>
        </x:is>
      </x:c>
    </x:row>
    <x:row r="4">
      <x:c r="A4" s="8" t="inlineStr">
        <x:is>
          <x:t xml:space="preserve">Δε per 1 ns (eV)</x:t>
        </x:is>
      </x:c>
      <x:c r="B4" s="10" t="n">
        <x:v>344.8</x:v>
      </x:c>
      <x:c r="C4" s="8" t="inlineStr">
        <x:is>
          <x:t xml:space="preserve">Energy deposited per 1 ns</x:t>
        </x:is>
      </x:c>
    </x:row>
    <x:row r="5">
      <x:c r="A5" s="8" t="inlineStr">
        <x:is>
          <x:t xml:space="preserve">Heat Flux J (W/m²)</x:t>
        </x:is>
      </x:c>
      <x:c r="B5" s="11">
        <x:f>B4*$B$3/($B$2*1E-9)</x:f>
        <x:v>8799713139.508211</x:v>
      </x:c>
      <x:c r="C5" s="8" t="inlineStr">
        <x:is>
          <x:t xml:space="preserve">Calculated from Δε/(A·Δt) with Δt = 1 ns</x:t>
        </x:is>
      </x:c>
    </x:row>
    <x:row r="6">
      <x:c r="A6" s="8" t="inlineStr">
        <x:is>
          <x:t xml:space="preserve">Rule for final values</x:t>
        </x:is>
      </x:c>
      <x:c r="B6" s="8" t="inlineStr">
        <x:is>
          <x:t xml:space="preserve">4 ns + last 4-frame average</x:t>
        </x:is>
      </x:c>
      <x:c r="C6" s="8" t="inlineStr">
        <x:is>
          <x:t xml:space="preserve">Selection rule used for Table 1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8" customWidth="1"/>
    <x:col min="3" max="3" width="10" customWidth="1"/>
    <x:col min="4" max="4" width="12" customWidth="1"/>
    <x:col min="5" max="5" width="15" customWidth="1"/>
    <x:col min="6" max="6" width="16" customWidth="1"/>
    <x:col min="7" max="7" width="16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6" customWidth="1"/>
    <x:col min="13" max="13" width="16" customWidth="1"/>
    <x:col min="14" max="14" width="16" customWidth="1"/>
  </x:cols>
  <x:sheetData>
    <x:row r="1">
      <x:c r="A1" s="3" t="inlineStr">
        <x:is>
          <x:t xml:space="preserve">Size</x:t>
        </x:is>
      </x:c>
      <x:c r="B1" s="3" t="inlineStr">
        <x:is>
          <x:t xml:space="preserve">Temp</x:t>
        </x:is>
      </x:c>
      <x:c r="C1" s="3" t="inlineStr">
        <x:is>
          <x:t xml:space="preserve">Time(ns)</x:t>
        </x:is>
      </x:c>
      <x:c r="D1" s="3" t="inlineStr">
        <x:is>
          <x:t xml:space="preserve">Time(s)</x:t>
        </x:is>
      </x:c>
      <x:c r="E1" s="3" t="inlineStr">
        <x:is>
          <x:t xml:space="preserve">Fitting Range</x:t>
        </x:is>
      </x:c>
      <x:c r="F1" s="3" t="inlineStr">
        <x:is>
          <x:t xml:space="preserve">Delta_epsilon (eV)</x:t>
        </x:is>
      </x:c>
      <x:c r="G1" s="3" t="inlineStr">
        <x:is>
          <x:t xml:space="preserve">Delta_epsilon (J)</x:t>
        </x:is>
      </x:c>
      <x:c r="H1" s="3" t="inlineStr">
        <x:is>
          <x:t xml:space="preserve">Slope_last1 (K/A)</x:t>
        </x:is>
      </x:c>
      <x:c r="I1" s="3" t="inlineStr">
        <x:is>
          <x:t xml:space="preserve">Slope_last4avg (K/A)</x:t>
        </x:is>
      </x:c>
      <x:c r="J1" s="3" t="inlineStr">
        <x:is>
          <x:t xml:space="preserve">Intercept_last1 (K)</x:t>
        </x:is>
      </x:c>
      <x:c r="K1" s="3" t="inlineStr">
        <x:is>
          <x:t xml:space="preserve">Intercept_last4avg (K)</x:t>
        </x:is>
      </x:c>
      <x:c r="L1" s="3" t="inlineStr">
        <x:is>
          <x:t xml:space="preserve">K_last1 (W/m·K)</x:t>
        </x:is>
      </x:c>
      <x:c r="M1" s="3" t="inlineStr">
        <x:is>
          <x:t xml:space="preserve">K_last4avg (W/m·K)</x:t>
        </x:is>
      </x:c>
      <x:c r="N1" s="3" t="inlineStr">
        <x:is>
          <x:t xml:space="preserve">Notes</x:t>
        </x:is>
      </x:c>
    </x:row>
    <x:row r="2">
      <x:c r="A2" s="4" t="n">
        <x:v>200</x:v>
      </x:c>
      <x:c r="B2" s="4" t="n">
        <x:v>300</x:v>
      </x:c>
      <x:c r="C2" s="4" t="n">
        <x:v>1</x:v>
      </x:c>
      <x:c r="D2" s="12" t="n">
        <x:v>1e-09</x:v>
      </x:c>
      <x:c r="E2" s="4" t="inlineStr">
        <x:is>
          <x:t xml:space="preserve">45-155</x:t>
        </x:is>
      </x:c>
      <x:c r="F2" s="13" t="n">
        <x:v>344.8</x:v>
      </x:c>
      <x:c r="G2" s="14">
        <x:f>F2*Constants!$B$3</x:f>
        <x:v>5.524305034032e-17</x:v>
      </x:c>
      <x:c r="H2" s="5" t="n">
        <x:v>-0.22789</x:v>
      </x:c>
      <x:c r="I2" s="5" t="n">
        <x:v>-0.226905</x:v>
      </x:c>
      <x:c r="J2" s="5" t="n">
        <x:v>414.375427</x:v>
      </x:c>
      <x:c r="K2" s="5" t="n">
        <x:v>409.679385</x:v>
      </x:c>
      <x:c r="L2" s="7">
        <x:f>Constants!$B$5/ABS(H2*1E10)</x:f>
        <x:v>3.861386256311471</x:v>
      </x:c>
      <x:c r="M2" s="7">
        <x:f>Constants!$B$5/ABS(I2*1E10)</x:f>
        <x:v>3.8781486258602547</x:v>
      </x:c>
      <x:c r="N2" s="4" t="inlineStr">
        <x:is>
          <x:t xml:space="preserve"/>
        </x:is>
      </x:c>
    </x:row>
    <x:row r="3">
      <x:c r="A3" s="4" t="n">
        <x:v>200</x:v>
      </x:c>
      <x:c r="B3" s="4" t="n">
        <x:v>300</x:v>
      </x:c>
      <x:c r="C3" s="4" t="n">
        <x:v>2</x:v>
      </x:c>
      <x:c r="D3" s="12" t="n">
        <x:v>2e-09</x:v>
      </x:c>
      <x:c r="E3" s="4" t="inlineStr">
        <x:is>
          <x:t xml:space="preserve">45-155</x:t>
        </x:is>
      </x:c>
      <x:c r="F3" s="13" t="n">
        <x:v>689.6</x:v>
      </x:c>
      <x:c r="G3" s="14">
        <x:f>F3*Constants!$B$3</x:f>
        <x:v>1.1048610068064e-16</x:v>
      </x:c>
      <x:c r="H3" s="5" t="n">
        <x:v>-0.315515</x:v>
      </x:c>
      <x:c r="I3" s="5" t="n">
        <x:v>-0.252315</x:v>
      </x:c>
      <x:c r="J3" s="5" t="n">
        <x:v>449.232768</x:v>
      </x:c>
      <x:c r="K3" s="5" t="n">
        <x:v>439.704815</x:v>
      </x:c>
      <x:c r="L3" s="7">
        <x:f>Constants!$B$5/ABS(H3*1E10)</x:f>
        <x:v>2.7889999332862816</x:v>
      </x:c>
      <x:c r="M3" s="7">
        <x:f>Constants!$B$5/ABS(I3*1E10)</x:f>
        <x:v>3.4875901708214774</x:v>
      </x:c>
      <x:c r="N3" s="4" t="inlineStr">
        <x:is>
          <x:t xml:space="preserve"/>
        </x:is>
      </x:c>
    </x:row>
    <x:row r="4">
      <x:c r="A4" s="4" t="n">
        <x:v>200</x:v>
      </x:c>
      <x:c r="B4" s="4" t="n">
        <x:v>300</x:v>
      </x:c>
      <x:c r="C4" s="4" t="n">
        <x:v>3</x:v>
      </x:c>
      <x:c r="D4" s="12" t="n">
        <x:v>3e-09</x:v>
      </x:c>
      <x:c r="E4" s="4" t="inlineStr">
        <x:is>
          <x:t xml:space="preserve">45-155</x:t>
        </x:is>
      </x:c>
      <x:c r="F4" s="13" t="n">
        <x:v>1034.4</x:v>
      </x:c>
      <x:c r="G4" s="14">
        <x:f>F4*Constants!$B$3</x:f>
        <x:v>1.6572915102096e-16</x:v>
      </x:c>
      <x:c r="H4" s="5" t="n">
        <x:v>-0.231132</x:v>
      </x:c>
      <x:c r="I4" s="5" t="n">
        <x:v>-0.225699</x:v>
      </x:c>
      <x:c r="J4" s="5" t="n">
        <x:v>455.488715</x:v>
      </x:c>
      <x:c r="K4" s="5" t="n">
        <x:v>451.044443</x:v>
      </x:c>
      <x:c r="L4" s="7">
        <x:f>Constants!$B$5/ABS(H4*1E10)</x:f>
        <x:v>3.8072240708808</x:v>
      </x:c>
      <x:c r="M4" s="7">
        <x:f>Constants!$B$5/ABS(I4*1E10)</x:f>
        <x:v>3.898871124598785</x:v>
      </x:c>
      <x:c r="N4" s="4" t="inlineStr">
        <x:is>
          <x:t xml:space="preserve"/>
        </x:is>
      </x:c>
    </x:row>
    <x:row r="5">
      <x:c r="A5" s="4" t="n">
        <x:v>200</x:v>
      </x:c>
      <x:c r="B5" s="4" t="n">
        <x:v>300</x:v>
      </x:c>
      <x:c r="C5" s="4" t="n">
        <x:v>4</x:v>
      </x:c>
      <x:c r="D5" s="12" t="n">
        <x:v>4e-09</x:v>
      </x:c>
      <x:c r="E5" s="4" t="inlineStr">
        <x:is>
          <x:t xml:space="preserve">45-155</x:t>
        </x:is>
      </x:c>
      <x:c r="F5" s="13" t="n">
        <x:v>1379.2</x:v>
      </x:c>
      <x:c r="G5" s="14">
        <x:f>F5*Constants!$B$3</x:f>
        <x:v>2.2097220136128e-16</x:v>
      </x:c>
      <x:c r="H5" s="5" t="n">
        <x:v>-0.142107</x:v>
      </x:c>
      <x:c r="I5" s="5" t="n">
        <x:v>-0.165822</x:v>
      </x:c>
      <x:c r="J5" s="5" t="n">
        <x:v>454.944134</x:v>
      </x:c>
      <x:c r="K5" s="5" t="n">
        <x:v>455.671142</x:v>
      </x:c>
      <x:c r="L5" s="7">
        <x:f>Constants!$B$5/ABS(H5*1E10)</x:f>
        <x:v>6.192315043951537</x:v>
      </x:c>
      <x:c r="M5" s="7">
        <x:f>Constants!$B$5/ABS(I5*1E10)</x:f>
        <x:v>5.306722352587842</x:v>
      </x:c>
      <x:c r="N5" s="4" t="inlineStr">
        <x:is>
          <x:t xml:space="preserve"/>
        </x:is>
      </x:c>
    </x:row>
    <x:row r="6">
      <x:c r="A6" s="4" t="n">
        <x:v>200</x:v>
      </x:c>
      <x:c r="B6" s="4" t="n">
        <x:v>600</x:v>
      </x:c>
      <x:c r="C6" s="4" t="n">
        <x:v>1</x:v>
      </x:c>
      <x:c r="D6" s="12" t="n">
        <x:v>1e-09</x:v>
      </x:c>
      <x:c r="E6" s="4" t="inlineStr">
        <x:is>
          <x:t xml:space="preserve">45-155</x:t>
        </x:is>
      </x:c>
      <x:c r="F6" s="13" t="n">
        <x:v>344.8</x:v>
      </x:c>
      <x:c r="G6" s="14">
        <x:f>F6*Constants!$B$3</x:f>
        <x:v>5.524305034032e-17</x:v>
      </x:c>
      <x:c r="H6" s="5" t="n">
        <x:v>-0.198675</x:v>
      </x:c>
      <x:c r="I6" s="5" t="n">
        <x:v>-0.201067</x:v>
      </x:c>
      <x:c r="J6" s="5" t="n">
        <x:v>637.5571639999999</x:v>
      </x:c>
      <x:c r="K6" s="5" t="n">
        <x:v>634.329692</x:v>
      </x:c>
      <x:c r="L6" s="7">
        <x:f>Constants!$B$5/ABS(H6*1E10)</x:f>
        <x:v>4.429200019885849</x:v>
      </x:c>
      <x:c r="M6" s="7">
        <x:f>Constants!$B$5/ABS(I6*1E10)</x:f>
        <x:v>4.376507900107034</x:v>
      </x:c>
      <x:c r="N6" s="4" t="inlineStr">
        <x:is>
          <x:t xml:space="preserve"/>
        </x:is>
      </x:c>
    </x:row>
    <x:row r="7">
      <x:c r="A7" s="4" t="n">
        <x:v>200</x:v>
      </x:c>
      <x:c r="B7" s="4" t="n">
        <x:v>600</x:v>
      </x:c>
      <x:c r="C7" s="4" t="n">
        <x:v>2</x:v>
      </x:c>
      <x:c r="D7" s="12" t="n">
        <x:v>2e-09</x:v>
      </x:c>
      <x:c r="E7" s="4" t="inlineStr">
        <x:is>
          <x:t xml:space="preserve">45-155</x:t>
        </x:is>
      </x:c>
      <x:c r="F7" s="13" t="n">
        <x:v>689.6</x:v>
      </x:c>
      <x:c r="G7" s="14">
        <x:f>F7*Constants!$B$3</x:f>
        <x:v>1.1048610068064e-16</x:v>
      </x:c>
      <x:c r="H7" s="5" t="n">
        <x:v>-0.287062</x:v>
      </x:c>
      <x:c r="I7" s="5" t="n">
        <x:v>-0.238591</x:v>
      </x:c>
      <x:c r="J7" s="5" t="n">
        <x:v>672.743046</x:v>
      </x:c>
      <x:c r="K7" s="5" t="n">
        <x:v>665.856149</x:v>
      </x:c>
      <x:c r="L7" s="7">
        <x:f>Constants!$B$5/ABS(H7*1E10)</x:f>
        <x:v>3.0654399187312187</x:v>
      </x:c>
      <x:c r="M7" s="7">
        <x:f>Constants!$B$5/ABS(I7*1E10)</x:f>
        <x:v>3.688199948660348</x:v>
      </x:c>
      <x:c r="N7" s="4" t="inlineStr">
        <x:is>
          <x:t xml:space="preserve"/>
        </x:is>
      </x:c>
    </x:row>
    <x:row r="8">
      <x:c r="A8" s="4" t="n">
        <x:v>200</x:v>
      </x:c>
      <x:c r="B8" s="4" t="n">
        <x:v>600</x:v>
      </x:c>
      <x:c r="C8" s="4" t="n">
        <x:v>3</x:v>
      </x:c>
      <x:c r="D8" s="12" t="n">
        <x:v>3e-09</x:v>
      </x:c>
      <x:c r="E8" s="4" t="inlineStr">
        <x:is>
          <x:t xml:space="preserve">45-155</x:t>
        </x:is>
      </x:c>
      <x:c r="F8" s="13" t="n">
        <x:v>1034.4</x:v>
      </x:c>
      <x:c r="G8" s="14">
        <x:f>F8*Constants!$B$3</x:f>
        <x:v>1.6572915102096e-16</x:v>
      </x:c>
      <x:c r="H8" s="5" t="n">
        <x:v>-0.116865</x:v>
      </x:c>
      <x:c r="I8" s="5" t="n">
        <x:v>-0.125493</x:v>
      </x:c>
      <x:c r="J8" s="5" t="n">
        <x:v>667.560336</x:v>
      </x:c>
      <x:c r="K8" s="5" t="n">
        <x:v>666.526127</x:v>
      </x:c>
      <x:c r="L8" s="7">
        <x:f>Constants!$B$5/ABS(H8*1E10)</x:f>
        <x:v>7.529810584442058</x:v>
      </x:c>
      <x:c r="M8" s="7">
        <x:f>Constants!$B$5/ABS(I8*1E10)</x:f>
        <x:v>7.012114731107083</x:v>
      </x:c>
      <x:c r="N8" s="4" t="inlineStr">
        <x:is>
          <x:t xml:space="preserve"/>
        </x:is>
      </x:c>
    </x:row>
    <x:row r="9">
      <x:c r="A9" s="4" t="n">
        <x:v>200</x:v>
      </x:c>
      <x:c r="B9" s="4" t="n">
        <x:v>600</x:v>
      </x:c>
      <x:c r="C9" s="4" t="n">
        <x:v>4</x:v>
      </x:c>
      <x:c r="D9" s="12" t="n">
        <x:v>4e-09</x:v>
      </x:c>
      <x:c r="E9" s="4" t="inlineStr">
        <x:is>
          <x:t xml:space="preserve">45-155</x:t>
        </x:is>
      </x:c>
      <x:c r="F9" s="13" t="n">
        <x:v>1379.2</x:v>
      </x:c>
      <x:c r="G9" s="14">
        <x:f>F9*Constants!$B$3</x:f>
        <x:v>2.2097220136128e-16</x:v>
      </x:c>
      <x:c r="H9" s="5" t="n">
        <x:v>-0.166962</x:v>
      </x:c>
      <x:c r="I9" s="5" t="n">
        <x:v>-0.145503</x:v>
      </x:c>
      <x:c r="J9" s="5" t="n">
        <x:v>680.908695</x:v>
      </x:c>
      <x:c r="K9" s="5" t="n">
        <x:v>679.8629100000001</x:v>
      </x:c>
      <x:c r="L9" s="7">
        <x:f>Constants!$B$5/ABS(H9*1E10)</x:f>
        <x:v>5.270488577944809</x:v>
      </x:c>
      <x:c r="M9" s="7">
        <x:f>Constants!$B$5/ABS(I9*1E10)</x:f>
        <x:v>6.04778811399642</x:v>
      </x:c>
      <x:c r="N9" s="4" t="inlineStr">
        <x:is>
          <x:t xml:space="preserve"/>
        </x:is>
      </x:c>
    </x:row>
    <x:row r="10">
      <x:c r="A10" s="4" t="n">
        <x:v>200</x:v>
      </x:c>
      <x:c r="B10" s="4" t="n">
        <x:v>900</x:v>
      </x:c>
      <x:c r="C10" s="4" t="n">
        <x:v>1</x:v>
      </x:c>
      <x:c r="D10" s="12" t="n">
        <x:v>1e-09</x:v>
      </x:c>
      <x:c r="E10" s="4" t="inlineStr">
        <x:is>
          <x:t xml:space="preserve">45-155</x:t>
        </x:is>
      </x:c>
      <x:c r="F10" s="13" t="n">
        <x:v>344.8</x:v>
      </x:c>
      <x:c r="G10" s="14">
        <x:f>F10*Constants!$B$3</x:f>
        <x:v>5.524305034032e-17</x:v>
      </x:c>
      <x:c r="H10" s="5" t="n">
        <x:v>-0.158153</x:v>
      </x:c>
      <x:c r="I10" s="5" t="n">
        <x:v>-0.12632</x:v>
      </x:c>
      <x:c r="J10" s="5" t="n">
        <x:v>947.617713</x:v>
      </x:c>
      <x:c r="K10" s="5" t="n">
        <x:v>940.27627</x:v>
      </x:c>
      <x:c r="L10" s="7">
        <x:f>Constants!$B$5/ABS(H10*1E10)</x:f>
        <x:v>5.564050722723067</x:v>
      </x:c>
      <x:c r="M10" s="7">
        <x:f>Constants!$B$5/ABS(I10*1E10)</x:f>
        <x:v>6.966207361865273</x:v>
      </x:c>
      <x:c r="N10" s="4" t="inlineStr">
        <x:is>
          <x:t xml:space="preserve"/>
        </x:is>
      </x:c>
    </x:row>
    <x:row r="11">
      <x:c r="A11" s="4" t="n">
        <x:v>200</x:v>
      </x:c>
      <x:c r="B11" s="4" t="n">
        <x:v>900</x:v>
      </x:c>
      <x:c r="C11" s="4" t="n">
        <x:v>2</x:v>
      </x:c>
      <x:c r="D11" s="12" t="n">
        <x:v>2e-09</x:v>
      </x:c>
      <x:c r="E11" s="4" t="inlineStr">
        <x:is>
          <x:t xml:space="preserve">45-155</x:t>
        </x:is>
      </x:c>
      <x:c r="F11" s="13" t="n">
        <x:v>689.6</x:v>
      </x:c>
      <x:c r="G11" s="14">
        <x:f>F11*Constants!$B$3</x:f>
        <x:v>1.1048610068064e-16</x:v>
      </x:c>
      <x:c r="H11" s="5" t="n">
        <x:v>-0.164799</x:v>
      </x:c>
      <x:c r="I11" s="5" t="n">
        <x:v>-0.106937</x:v>
      </x:c>
      <x:c r="J11" s="5" t="n">
        <x:v>965.258884</x:v>
      </x:c>
      <x:c r="K11" s="5" t="n">
        <x:v>956.12586</x:v>
      </x:c>
      <x:c r="L11" s="7">
        <x:f>Constants!$B$5/ABS(H11*1E10)</x:f>
        <x:v>5.339664160285081</x:v>
      </x:c>
      <x:c r="M11" s="7">
        <x:f>Constants!$B$5/ABS(I11*1E10)</x:f>
        <x:v>8.228876010649458</x:v>
      </x:c>
      <x:c r="N11" s="4" t="inlineStr">
        <x:is>
          <x:t xml:space="preserve"/>
        </x:is>
      </x:c>
    </x:row>
    <x:row r="12">
      <x:c r="A12" s="4" t="n">
        <x:v>200</x:v>
      </x:c>
      <x:c r="B12" s="4" t="n">
        <x:v>900</x:v>
      </x:c>
      <x:c r="C12" s="4" t="n">
        <x:v>3</x:v>
      </x:c>
      <x:c r="D12" s="12" t="n">
        <x:v>3e-09</x:v>
      </x:c>
      <x:c r="E12" s="4" t="inlineStr">
        <x:is>
          <x:t xml:space="preserve">45-155</x:t>
        </x:is>
      </x:c>
      <x:c r="F12" s="13" t="n">
        <x:v>1034.4</x:v>
      </x:c>
      <x:c r="G12" s="14">
        <x:f>F12*Constants!$B$3</x:f>
        <x:v>1.6572915102096e-16</x:v>
      </x:c>
      <x:c r="H12" s="5" t="n">
        <x:v>0.042158</x:v>
      </x:c>
      <x:c r="I12" s="5" t="n">
        <x:v>-0.198632</x:v>
      </x:c>
      <x:c r="J12" s="5" t="n">
        <x:v>947.931766</x:v>
      </x:c>
      <x:c r="K12" s="5" t="n">
        <x:v>970.1444729999999</x:v>
      </x:c>
      <x:c r="L12" s="7">
        <x:f>Constants!$B$5/ABS(H12*1E10)</x:f>
        <x:v>20.873175054576144</x:v>
      </x:c>
      <x:c r="M12" s="7">
        <x:f>Constants!$B$5/ABS(I12*1E10)</x:f>
        <x:v>4.4301588563314125</x:v>
      </x:c>
      <x:c r="N12" s="4" t="inlineStr">
        <x:is>
          <x:t xml:space="preserve"/>
        </x:is>
      </x:c>
    </x:row>
    <x:row r="13">
      <x:c r="A13" s="4" t="n">
        <x:v>200</x:v>
      </x:c>
      <x:c r="B13" s="4" t="n">
        <x:v>900</x:v>
      </x:c>
      <x:c r="C13" s="4" t="n">
        <x:v>4</x:v>
      </x:c>
      <x:c r="D13" s="12" t="n">
        <x:v>4e-09</x:v>
      </x:c>
      <x:c r="E13" s="4" t="inlineStr">
        <x:is>
          <x:t xml:space="preserve">45-155</x:t>
        </x:is>
      </x:c>
      <x:c r="F13" s="13" t="n">
        <x:v>1379.2</x:v>
      </x:c>
      <x:c r="G13" s="14">
        <x:f>F13*Constants!$B$3</x:f>
        <x:v>2.2097220136128e-16</x:v>
      </x:c>
      <x:c r="H13" s="5" t="n">
        <x:v>-0.237797</x:v>
      </x:c>
      <x:c r="I13" s="5" t="n">
        <x:v>-0.172334</x:v>
      </x:c>
      <x:c r="J13" s="5" t="n">
        <x:v>978.158689</x:v>
      </x:c>
      <x:c r="K13" s="5" t="n">
        <x:v>971.907683</x:v>
      </x:c>
      <x:c r="L13" s="7">
        <x:f>Constants!$B$5/ABS(H13*1E10)</x:f>
        <x:v>3.7005147834111494</x:v>
      </x:c>
      <x:c r="M13" s="7">
        <x:f>Constants!$B$5/ABS(I13*1E10)</x:f>
        <x:v>5.106196768779355</x:v>
      </x:c>
      <x:c r="N13" s="4" t="inlineStr">
        <x:is>
          <x:t xml:space="preserve"/>
        </x:is>
      </x:c>
    </x:row>
    <x:row r="14">
      <x:c r="A14" s="4" t="n">
        <x:v>400</x:v>
      </x:c>
      <x:c r="B14" s="4" t="n">
        <x:v>300</x:v>
      </x:c>
      <x:c r="C14" s="4" t="n">
        <x:v>1</x:v>
      </x:c>
      <x:c r="D14" s="12" t="n">
        <x:v>1e-09</x:v>
      </x:c>
      <x:c r="E14" s="4" t="inlineStr">
        <x:is>
          <x:t xml:space="preserve">95-305</x:t>
        </x:is>
      </x:c>
      <x:c r="F14" s="13" t="n">
        <x:v>344.8</x:v>
      </x:c>
      <x:c r="G14" s="14">
        <x:f>F14*Constants!$B$3</x:f>
        <x:v>5.524305034032e-17</x:v>
      </x:c>
      <x:c r="H14" s="5" t="n">
        <x:v>-0.127657</x:v>
      </x:c>
      <x:c r="I14" s="5" t="n">
        <x:v>-0.193768</x:v>
      </x:c>
      <x:c r="J14" s="5" t="n">
        <x:v>440.231676</x:v>
      </x:c>
      <x:c r="K14" s="5" t="n">
        <x:v>450.247262</x:v>
      </x:c>
      <x:c r="L14" s="7">
        <x:f>Constants!$B$5/ABS(H14*1E10)</x:f>
        <x:v>6.893247639775501</x:v>
      </x:c>
      <x:c r="M14" s="7">
        <x:f>Constants!$B$5/ABS(I14*1E10)</x:f>
        <x:v>4.541365519336635</x:v>
      </x:c>
      <x:c r="N14" s="4" t="inlineStr">
        <x:is>
          <x:t xml:space="preserve"/>
        </x:is>
      </x:c>
    </x:row>
    <x:row r="15">
      <x:c r="A15" s="4" t="n">
        <x:v>400</x:v>
      </x:c>
      <x:c r="B15" s="4" t="n">
        <x:v>300</x:v>
      </x:c>
      <x:c r="C15" s="4" t="n">
        <x:v>2</x:v>
      </x:c>
      <x:c r="D15" s="12" t="n">
        <x:v>2e-09</x:v>
      </x:c>
      <x:c r="E15" s="4" t="inlineStr">
        <x:is>
          <x:t xml:space="preserve">95-305</x:t>
        </x:is>
      </x:c>
      <x:c r="F15" s="13" t="n">
        <x:v>689.6</x:v>
      </x:c>
      <x:c r="G15" s="14">
        <x:f>F15*Constants!$B$3</x:f>
        <x:v>1.1048610068064e-16</x:v>
      </x:c>
      <x:c r="H15" s="5" t="n">
        <x:v>-0.224355</x:v>
      </x:c>
      <x:c r="I15" s="5" t="n">
        <x:v>-0.198312</x:v>
      </x:c>
      <x:c r="J15" s="5" t="n">
        <x:v>479.390935</x:v>
      </x:c>
      <x:c r="K15" s="5" t="n">
        <x:v>471.56421</x:v>
      </x:c>
      <x:c r="L15" s="7">
        <x:f>Constants!$B$5/ABS(H15*1E10)</x:f>
        <x:v>3.922227335922182</x:v>
      </x:c>
      <x:c r="M15" s="7">
        <x:f>Constants!$B$5/ABS(I15*1E10)</x:f>
        <x:v>4.437307444586415</x:v>
      </x:c>
      <x:c r="N15" s="4" t="inlineStr">
        <x:is>
          <x:t xml:space="preserve"/>
        </x:is>
      </x:c>
    </x:row>
    <x:row r="16">
      <x:c r="A16" s="4" t="n">
        <x:v>400</x:v>
      </x:c>
      <x:c r="B16" s="4" t="n">
        <x:v>300</x:v>
      </x:c>
      <x:c r="C16" s="4" t="n">
        <x:v>3</x:v>
      </x:c>
      <x:c r="D16" s="12" t="n">
        <x:v>3e-09</x:v>
      </x:c>
      <x:c r="E16" s="4" t="inlineStr">
        <x:is>
          <x:t xml:space="preserve">95-305</x:t>
        </x:is>
      </x:c>
      <x:c r="F16" s="13" t="n">
        <x:v>1034.4</x:v>
      </x:c>
      <x:c r="G16" s="14">
        <x:f>F16*Constants!$B$3</x:f>
        <x:v>1.6572915102096e-16</x:v>
      </x:c>
      <x:c r="H16" s="5" t="n">
        <x:v>-0.228876</x:v>
      </x:c>
      <x:c r="I16" s="5" t="n">
        <x:v>-0.210023</x:v>
      </x:c>
      <x:c r="J16" s="5" t="n">
        <x:v>482.972783</x:v>
      </x:c>
      <x:c r="K16" s="5" t="n">
        <x:v>478.851592</x:v>
      </x:c>
      <x:c r="L16" s="7">
        <x:f>Constants!$B$5/ABS(H16*1E10)</x:f>
        <x:v>3.8447513673378646</x:v>
      </x:c>
      <x:c r="M16" s="7">
        <x:f>Constants!$B$5/ABS(I16*1E10)</x:f>
        <x:v>4.1898806985464505</x:v>
      </x:c>
      <x:c r="N16" s="4" t="inlineStr">
        <x:is>
          <x:t xml:space="preserve"/>
        </x:is>
      </x:c>
    </x:row>
    <x:row r="17">
      <x:c r="A17" s="4" t="n">
        <x:v>400</x:v>
      </x:c>
      <x:c r="B17" s="4" t="n">
        <x:v>300</x:v>
      </x:c>
      <x:c r="C17" s="4" t="n">
        <x:v>4</x:v>
      </x:c>
      <x:c r="D17" s="12" t="n">
        <x:v>4e-09</x:v>
      </x:c>
      <x:c r="E17" s="4" t="inlineStr">
        <x:is>
          <x:t xml:space="preserve">95-305</x:t>
        </x:is>
      </x:c>
      <x:c r="F17" s="13" t="n">
        <x:v>1379.2</x:v>
      </x:c>
      <x:c r="G17" s="14">
        <x:f>F17*Constants!$B$3</x:f>
        <x:v>2.2097220136128e-16</x:v>
      </x:c>
      <x:c r="H17" s="5" t="n">
        <x:v>-0.203494</x:v>
      </x:c>
      <x:c r="I17" s="5" t="n">
        <x:v>-0.168863</x:v>
      </x:c>
      <x:c r="J17" s="5" t="n">
        <x:v>484.873469</x:v>
      </x:c>
      <x:c r="K17" s="5" t="n">
        <x:v>477.212464</x:v>
      </x:c>
      <x:c r="L17" s="7">
        <x:f>Constants!$B$5/ABS(H17*1E10)</x:f>
        <x:v>4.324310859046562</x:v>
      </x:c>
      <x:c r="M17" s="7">
        <x:f>Constants!$B$5/ABS(I17*1E10)</x:f>
        <x:v>5.211155279432564</x:v>
      </x:c>
      <x:c r="N17" s="4" t="inlineStr">
        <x:is>
          <x:t xml:space="preserve"/>
        </x:is>
      </x:c>
    </x:row>
    <x:row r="18">
      <x:c r="A18" s="4" t="n">
        <x:v>400</x:v>
      </x:c>
      <x:c r="B18" s="4" t="n">
        <x:v>600</x:v>
      </x:c>
      <x:c r="C18" s="4" t="n">
        <x:v>1</x:v>
      </x:c>
      <x:c r="D18" s="12" t="n">
        <x:v>1e-09</x:v>
      </x:c>
      <x:c r="E18" s="4" t="inlineStr">
        <x:is>
          <x:t xml:space="preserve">95-305</x:t>
        </x:is>
      </x:c>
      <x:c r="F18" s="13" t="n">
        <x:v>344.8</x:v>
      </x:c>
      <x:c r="G18" s="14">
        <x:f>F18*Constants!$B$3</x:f>
        <x:v>5.524305034032e-17</x:v>
      </x:c>
      <x:c r="H18" s="5" t="n">
        <x:v>-0.159051</x:v>
      </x:c>
      <x:c r="I18" s="5" t="n">
        <x:v>-0.150246</x:v>
      </x:c>
      <x:c r="J18" s="5" t="n">
        <x:v>642.965337</x:v>
      </x:c>
      <x:c r="K18" s="5" t="n">
        <x:v>637.311006</x:v>
      </x:c>
      <x:c r="L18" s="7">
        <x:f>Constants!$B$5/ABS(H18*1E10)</x:f>
        <x:v>5.532636160419118</x:v>
      </x:c>
      <x:c r="M18" s="7">
        <x:f>Constants!$B$5/ABS(I18*1E10)</x:f>
        <x:v>5.856870159277592</x:v>
      </x:c>
      <x:c r="N18" s="4" t="inlineStr">
        <x:is>
          <x:t xml:space="preserve"/>
        </x:is>
      </x:c>
    </x:row>
    <x:row r="19">
      <x:c r="A19" s="4" t="n">
        <x:v>400</x:v>
      </x:c>
      <x:c r="B19" s="4" t="n">
        <x:v>600</x:v>
      </x:c>
      <x:c r="C19" s="4" t="n">
        <x:v>2</x:v>
      </x:c>
      <x:c r="D19" s="12" t="n">
        <x:v>2e-09</x:v>
      </x:c>
      <x:c r="E19" s="4" t="inlineStr">
        <x:is>
          <x:t xml:space="preserve">95-305</x:t>
        </x:is>
      </x:c>
      <x:c r="F19" s="13" t="n">
        <x:v>689.6</x:v>
      </x:c>
      <x:c r="G19" s="14">
        <x:f>F19*Constants!$B$3</x:f>
        <x:v>1.1048610068064e-16</x:v>
      </x:c>
      <x:c r="H19" s="5" t="n">
        <x:v>-0.203269</x:v>
      </x:c>
      <x:c r="I19" s="5" t="n">
        <x:v>-0.19737</x:v>
      </x:c>
      <x:c r="J19" s="5" t="n">
        <x:v>668.114685</x:v>
      </x:c>
      <x:c r="K19" s="5" t="n">
        <x:v>665.014238</x:v>
      </x:c>
      <x:c r="L19" s="7">
        <x:f>Constants!$B$5/ABS(H19*1E10)</x:f>
        <x:v>4.329097471581112</x:v>
      </x:c>
      <x:c r="M19" s="7">
        <x:f>Constants!$B$5/ABS(I19*1E10)</x:f>
        <x:v>4.458485656132245</x:v>
      </x:c>
      <x:c r="N19" s="4" t="inlineStr">
        <x:is>
          <x:t xml:space="preserve"/>
        </x:is>
      </x:c>
    </x:row>
    <x:row r="20">
      <x:c r="A20" s="4" t="n">
        <x:v>400</x:v>
      </x:c>
      <x:c r="B20" s="4" t="n">
        <x:v>600</x:v>
      </x:c>
      <x:c r="C20" s="4" t="n">
        <x:v>3</x:v>
      </x:c>
      <x:c r="D20" s="12" t="n">
        <x:v>3e-09</x:v>
      </x:c>
      <x:c r="E20" s="4" t="inlineStr">
        <x:is>
          <x:t xml:space="preserve">95-305</x:t>
        </x:is>
      </x:c>
      <x:c r="F20" s="13" t="n">
        <x:v>1034.4</x:v>
      </x:c>
      <x:c r="G20" s="14">
        <x:f>F20*Constants!$B$3</x:f>
        <x:v>1.6572915102096e-16</x:v>
      </x:c>
      <x:c r="H20" s="5" t="n">
        <x:v>-0.174938</x:v>
      </x:c>
      <x:c r="I20" s="5" t="n">
        <x:v>-0.19947</x:v>
      </x:c>
      <x:c r="J20" s="5" t="n">
        <x:v>671.648433</x:v>
      </x:c>
      <x:c r="K20" s="5" t="n">
        <x:v>676.686294</x:v>
      </x:c>
      <x:c r="L20" s="7">
        <x:f>Constants!$B$5/ABS(H20*1E10)</x:f>
        <x:v>5.0301896326173905</x:v>
      </x:c>
      <x:c r="M20" s="7">
        <x:f>Constants!$B$5/ABS(I20*1E10)</x:f>
        <x:v>4.411547169753954</x:v>
      </x:c>
      <x:c r="N20" s="4" t="inlineStr">
        <x:is>
          <x:t xml:space="preserve"/>
        </x:is>
      </x:c>
    </x:row>
    <x:row r="21">
      <x:c r="A21" s="4" t="n">
        <x:v>400</x:v>
      </x:c>
      <x:c r="B21" s="4" t="n">
        <x:v>600</x:v>
      </x:c>
      <x:c r="C21" s="4" t="n">
        <x:v>4</x:v>
      </x:c>
      <x:c r="D21" s="12" t="n">
        <x:v>4e-09</x:v>
      </x:c>
      <x:c r="E21" s="4" t="inlineStr">
        <x:is>
          <x:t xml:space="preserve">95-305</x:t>
        </x:is>
      </x:c>
      <x:c r="F21" s="13" t="n">
        <x:v>1379.2</x:v>
      </x:c>
      <x:c r="G21" s="14">
        <x:f>F21*Constants!$B$3</x:f>
        <x:v>2.2097220136128e-16</x:v>
      </x:c>
      <x:c r="H21" s="5" t="n">
        <x:v>-0.167087</x:v>
      </x:c>
      <x:c r="I21" s="5" t="n">
        <x:v>-0.15719</x:v>
      </x:c>
      <x:c r="J21" s="5" t="n">
        <x:v>677.07118</x:v>
      </x:c>
      <x:c r="K21" s="5" t="n">
        <x:v>672.751579</x:v>
      </x:c>
      <x:c r="L21" s="7">
        <x:f>Constants!$B$5/ABS(H21*1E10)</x:f>
        <x:v>5.2665456555615995</x:v>
      </x:c>
      <x:c r="M21" s="7">
        <x:f>Constants!$B$5/ABS(I21*1E10)</x:f>
        <x:v>5.598138011011013</x:v>
      </x:c>
      <x:c r="N21" s="4" t="inlineStr">
        <x:is>
          <x:t xml:space="preserve"/>
        </x:is>
      </x:c>
    </x:row>
    <x:row r="22">
      <x:c r="A22" s="4" t="n">
        <x:v>400</x:v>
      </x:c>
      <x:c r="B22" s="4" t="n">
        <x:v>900</x:v>
      </x:c>
      <x:c r="C22" s="4" t="n">
        <x:v>1</x:v>
      </x:c>
      <x:c r="D22" s="12" t="n">
        <x:v>1e-09</x:v>
      </x:c>
      <x:c r="E22" s="4" t="inlineStr">
        <x:is>
          <x:t xml:space="preserve">95-305</x:t>
        </x:is>
      </x:c>
      <x:c r="F22" s="13" t="n">
        <x:v>344.8</x:v>
      </x:c>
      <x:c r="G22" s="14">
        <x:f>F22*Constants!$B$3</x:f>
        <x:v>5.524305034032e-17</x:v>
      </x:c>
      <x:c r="H22" s="5" t="n">
        <x:v>-0.186448</x:v>
      </x:c>
      <x:c r="I22" s="5" t="n">
        <x:v>-0.220771</x:v>
      </x:c>
      <x:c r="J22" s="5" t="n">
        <x:v>954.185737</x:v>
      </x:c>
      <x:c r="K22" s="5" t="n">
        <x:v>957.24177</x:v>
      </x:c>
      <x:c r="L22" s="7">
        <x:f>Constants!$B$5/ABS(H22*1E10)</x:f>
        <x:v>4.719660784512685</x:v>
      </x:c>
      <x:c r="M22" s="7">
        <x:f>Constants!$B$5/ABS(I22*1E10)</x:f>
        <x:v>3.985900838202577</x:v>
      </x:c>
      <x:c r="N22" s="4" t="inlineStr">
        <x:is>
          <x:t xml:space="preserve"/>
        </x:is>
      </x:c>
    </x:row>
    <x:row r="23">
      <x:c r="A23" s="4" t="n">
        <x:v>400</x:v>
      </x:c>
      <x:c r="B23" s="4" t="n">
        <x:v>900</x:v>
      </x:c>
      <x:c r="C23" s="4" t="n">
        <x:v>2</x:v>
      </x:c>
      <x:c r="D23" s="12" t="n">
        <x:v>2e-09</x:v>
      </x:c>
      <x:c r="E23" s="4" t="inlineStr">
        <x:is>
          <x:t xml:space="preserve">95-305</x:t>
        </x:is>
      </x:c>
      <x:c r="F23" s="13" t="n">
        <x:v>689.6</x:v>
      </x:c>
      <x:c r="G23" s="14">
        <x:f>F23*Constants!$B$3</x:f>
        <x:v>1.1048610068064e-16</x:v>
      </x:c>
      <x:c r="H23" s="5" t="n">
        <x:v>-0.100706</x:v>
      </x:c>
      <x:c r="I23" s="5" t="n">
        <x:v>-0.140804</x:v>
      </x:c>
      <x:c r="J23" s="5" t="n">
        <x:v>950.032195</x:v>
      </x:c>
      <x:c r="K23" s="5" t="n">
        <x:v>959.7935</x:v>
      </x:c>
      <x:c r="L23" s="7">
        <x:f>Constants!$B$5/ABS(H23*1E10)</x:f>
        <x:v>8.738022699251495</x:v>
      </x:c>
      <x:c r="M23" s="7">
        <x:f>Constants!$B$5/ABS(I23*1E10)</x:f>
        <x:v>6.24961871786896</x:v>
      </x:c>
      <x:c r="N23" s="4" t="inlineStr">
        <x:is>
          <x:t xml:space="preserve"/>
        </x:is>
      </x:c>
    </x:row>
    <x:row r="24">
      <x:c r="A24" s="4" t="n">
        <x:v>400</x:v>
      </x:c>
      <x:c r="B24" s="4" t="n">
        <x:v>900</x:v>
      </x:c>
      <x:c r="C24" s="4" t="n">
        <x:v>3</x:v>
      </x:c>
      <x:c r="D24" s="12" t="n">
        <x:v>3e-09</x:v>
      </x:c>
      <x:c r="E24" s="4" t="inlineStr">
        <x:is>
          <x:t xml:space="preserve">95-305</x:t>
        </x:is>
      </x:c>
      <x:c r="F24" s="13" t="n">
        <x:v>1034.4</x:v>
      </x:c>
      <x:c r="G24" s="14">
        <x:f>F24*Constants!$B$3</x:f>
        <x:v>1.6572915102096e-16</x:v>
      </x:c>
      <x:c r="H24" s="5" t="n">
        <x:v>-0.156602</x:v>
      </x:c>
      <x:c r="I24" s="5" t="n">
        <x:v>-0.151268</x:v>
      </x:c>
      <x:c r="J24" s="5" t="n">
        <x:v>979.2606469999999</x:v>
      </x:c>
      <x:c r="K24" s="5" t="n">
        <x:v>972.440411</x:v>
      </x:c>
      <x:c r="L24" s="7">
        <x:f>Constants!$B$5/ABS(H24*1E10)</x:f>
        <x:v>5.619157571109061</x:v>
      </x:c>
      <x:c r="M24" s="7">
        <x:f>Constants!$B$5/ABS(I24*1E10)</x:f>
        <x:v>5.817299851593337</x:v>
      </x:c>
      <x:c r="N24" s="4" t="inlineStr">
        <x:is>
          <x:t xml:space="preserve"/>
        </x:is>
      </x:c>
    </x:row>
    <x:row r="25">
      <x:c r="A25" s="4" t="n">
        <x:v>400</x:v>
      </x:c>
      <x:c r="B25" s="4" t="n">
        <x:v>900</x:v>
      </x:c>
      <x:c r="C25" s="4" t="n">
        <x:v>4</x:v>
      </x:c>
      <x:c r="D25" s="12" t="n">
        <x:v>4e-09</x:v>
      </x:c>
      <x:c r="E25" s="4" t="inlineStr">
        <x:is>
          <x:t xml:space="preserve">95-305</x:t>
        </x:is>
      </x:c>
      <x:c r="F25" s="13" t="n">
        <x:v>1379.2</x:v>
      </x:c>
      <x:c r="G25" s="14">
        <x:f>F25*Constants!$B$3</x:f>
        <x:v>2.2097220136128e-16</x:v>
      </x:c>
      <x:c r="H25" s="5" t="n">
        <x:v>-0.209403</x:v>
      </x:c>
      <x:c r="I25" s="5" t="n">
        <x:v>-0.168392</x:v>
      </x:c>
      <x:c r="J25" s="5" t="n">
        <x:v>991.704953</x:v>
      </x:c>
      <x:c r="K25" s="5" t="n">
        <x:v>984.078087</x:v>
      </x:c>
      <x:c r="L25" s="7">
        <x:f>Constants!$B$5/ABS(H25*1E10)</x:f>
        <x:v>4.202286089267208</x:v>
      </x:c>
      <x:c r="M25" s="7">
        <x:f>Constants!$B$5/ABS(I25*1E10)</x:f>
        <x:v>5.225731115200373</x:v>
      </x:c>
      <x:c r="N25" s="4" t="inlineStr">
        <x:is>
          <x:t xml:space="preserve"/>
        </x:is>
      </x:c>
    </x:row>
    <x:row r="26">
      <x:c r="A26" s="4" t="n">
        <x:v>600</x:v>
      </x:c>
      <x:c r="B26" s="4" t="n">
        <x:v>300</x:v>
      </x:c>
      <x:c r="C26" s="4" t="n">
        <x:v>1</x:v>
      </x:c>
      <x:c r="D26" s="12" t="n">
        <x:v>1e-09</x:v>
      </x:c>
      <x:c r="E26" s="4" t="inlineStr">
        <x:is>
          <x:t xml:space="preserve">145-455</x:t>
        </x:is>
      </x:c>
      <x:c r="F26" s="13" t="n">
        <x:v>344.8</x:v>
      </x:c>
      <x:c r="G26" s="14">
        <x:f>F26*Constants!$B$3</x:f>
        <x:v>5.524305034032e-17</x:v>
      </x:c>
      <x:c r="H26" s="5" t="n">
        <x:v>-0.183419</x:v>
      </x:c>
      <x:c r="I26" s="5" t="n">
        <x:v>-0.187227</x:v>
      </x:c>
      <x:c r="J26" s="5" t="n">
        <x:v>467.86468</x:v>
      </x:c>
      <x:c r="K26" s="5" t="n">
        <x:v>466.017477</x:v>
      </x:c>
      <x:c r="L26" s="7">
        <x:f>Constants!$B$5/ABS(H26*1E10)</x:f>
        <x:v>4.797601742190401</x:v>
      </x:c>
      <x:c r="M26" s="7">
        <x:f>Constants!$B$5/ABS(I26*1E10)</x:f>
        <x:v>4.700023575396823</x:v>
      </x:c>
      <x:c r="N26" s="4" t="inlineStr">
        <x:is>
          <x:t xml:space="preserve"/>
        </x:is>
      </x:c>
    </x:row>
    <x:row r="27">
      <x:c r="A27" s="4" t="n">
        <x:v>600</x:v>
      </x:c>
      <x:c r="B27" s="4" t="n">
        <x:v>300</x:v>
      </x:c>
      <x:c r="C27" s="4" t="n">
        <x:v>2</x:v>
      </x:c>
      <x:c r="D27" s="12" t="n">
        <x:v>2e-09</x:v>
      </x:c>
      <x:c r="E27" s="4" t="inlineStr">
        <x:is>
          <x:t xml:space="preserve">145-455</x:t>
        </x:is>
      </x:c>
      <x:c r="F27" s="13" t="n">
        <x:v>689.6</x:v>
      </x:c>
      <x:c r="G27" s="14">
        <x:f>F27*Constants!$B$3</x:f>
        <x:v>1.1048610068064e-16</x:v>
      </x:c>
      <x:c r="H27" s="5" t="n">
        <x:v>-0.182687</x:v>
      </x:c>
      <x:c r="I27" s="5" t="n">
        <x:v>-0.188907</x:v>
      </x:c>
      <x:c r="J27" s="5" t="n">
        <x:v>485.941198</x:v>
      </x:c>
      <x:c r="K27" s="5" t="n">
        <x:v>485.616458</x:v>
      </x:c>
      <x:c r="L27" s="7">
        <x:f>Constants!$B$5/ABS(H27*1E10)</x:f>
        <x:v>4.816825028331634</x:v>
      </x:c>
      <x:c r="M27" s="7">
        <x:f>Constants!$B$5/ABS(I27*1E10)</x:f>
        <x:v>4.658225020517086</x:v>
      </x:c>
      <x:c r="N27" s="4" t="inlineStr">
        <x:is>
          <x:t xml:space="preserve"/>
        </x:is>
      </x:c>
    </x:row>
    <x:row r="28">
      <x:c r="A28" s="4" t="n">
        <x:v>600</x:v>
      </x:c>
      <x:c r="B28" s="4" t="n">
        <x:v>300</x:v>
      </x:c>
      <x:c r="C28" s="4" t="n">
        <x:v>3</x:v>
      </x:c>
      <x:c r="D28" s="12" t="n">
        <x:v>3e-09</x:v>
      </x:c>
      <x:c r="E28" s="4" t="inlineStr">
        <x:is>
          <x:t xml:space="preserve">145-455</x:t>
        </x:is>
      </x:c>
      <x:c r="F28" s="13" t="n">
        <x:v>1034.4</x:v>
      </x:c>
      <x:c r="G28" s="14">
        <x:f>F28*Constants!$B$3</x:f>
        <x:v>1.6572915102096e-16</x:v>
      </x:c>
      <x:c r="H28" s="5" t="n">
        <x:v>-0.177789</x:v>
      </x:c>
      <x:c r="I28" s="5" t="n">
        <x:v>-0.188889</x:v>
      </x:c>
      <x:c r="J28" s="5" t="n">
        <x:v>497.3486</x:v>
      </x:c>
      <x:c r="K28" s="5" t="n">
        <x:v>498.050886</x:v>
      </x:c>
      <x:c r="L28" s="7">
        <x:f>Constants!$B$5/ABS(H28*1E10)</x:f>
        <x:v>4.949526202131859</x:v>
      </x:c>
      <x:c r="M28" s="7">
        <x:f>Constants!$B$5/ABS(I28*1E10)</x:f>
        <x:v>4.658668921699099</x:v>
      </x:c>
      <x:c r="N28" s="4" t="inlineStr">
        <x:is>
          <x:t xml:space="preserve"/>
        </x:is>
      </x:c>
    </x:row>
    <x:row r="29">
      <x:c r="A29" s="4" t="n">
        <x:v>600</x:v>
      </x:c>
      <x:c r="B29" s="4" t="n">
        <x:v>300</x:v>
      </x:c>
      <x:c r="C29" s="4" t="n">
        <x:v>4</x:v>
      </x:c>
      <x:c r="D29" s="12" t="n">
        <x:v>4e-09</x:v>
      </x:c>
      <x:c r="E29" s="4" t="inlineStr">
        <x:is>
          <x:t xml:space="preserve">145-455</x:t>
        </x:is>
      </x:c>
      <x:c r="F29" s="13" t="n">
        <x:v>1379.2</x:v>
      </x:c>
      <x:c r="G29" s="14">
        <x:f>F29*Constants!$B$3</x:f>
        <x:v>2.2097220136128e-16</x:v>
      </x:c>
      <x:c r="H29" s="5" t="n">
        <x:v>-0.197396</x:v>
      </x:c>
      <x:c r="I29" s="5" t="n">
        <x:v>-0.188692</x:v>
      </x:c>
      <x:c r="J29" s="5" t="n">
        <x:v>513.695796</x:v>
      </x:c>
      <x:c r="K29" s="5" t="n">
        <x:v>508.205525</x:v>
      </x:c>
      <x:c r="L29" s="7">
        <x:f>Constants!$B$5/ABS(H29*1E10)</x:f>
        <x:v>4.45789840701342</x:v>
      </x:c>
      <x:c r="M29" s="7">
        <x:f>Constants!$B$5/ABS(I29*1E10)</x:f>
        <x:v>4.663532709128215</x:v>
      </x:c>
      <x:c r="N29" s="4" t="inlineStr">
        <x:is>
          <x:t xml:space="preserve"/>
        </x:is>
      </x:c>
    </x:row>
    <x:row r="30">
      <x:c r="A30" s="4" t="n">
        <x:v>600</x:v>
      </x:c>
      <x:c r="B30" s="4" t="n">
        <x:v>600</x:v>
      </x:c>
      <x:c r="C30" s="4" t="n">
        <x:v>1</x:v>
      </x:c>
      <x:c r="D30" s="12" t="n">
        <x:v>1e-09</x:v>
      </x:c>
      <x:c r="E30" s="4" t="inlineStr">
        <x:is>
          <x:t xml:space="preserve">145-455</x:t>
        </x:is>
      </x:c>
      <x:c r="F30" s="13" t="n">
        <x:v>344.8</x:v>
      </x:c>
      <x:c r="G30" s="14">
        <x:f>F30*Constants!$B$3</x:f>
        <x:v>5.524305034032e-17</x:v>
      </x:c>
      <x:c r="H30" s="5" t="n">
        <x:v>-0.188312</x:v>
      </x:c>
      <x:c r="I30" s="5" t="n">
        <x:v>-0.171783</x:v>
      </x:c>
      <x:c r="J30" s="5" t="n">
        <x:v>657.975462</x:v>
      </x:c>
      <x:c r="K30" s="5" t="n">
        <x:v>650.254004</x:v>
      </x:c>
      <x:c r="L30" s="7">
        <x:f>Constants!$B$5/ABS(H30*1E10)</x:f>
        <x:v>4.6729433809360055</x:v>
      </x:c>
      <x:c r="M30" s="7">
        <x:f>Constants!$B$5/ABS(I30*1E10)</x:f>
        <x:v>5.122575074080794</x:v>
      </x:c>
      <x:c r="N30" s="4" t="inlineStr">
        <x:is>
          <x:t xml:space="preserve"/>
        </x:is>
      </x:c>
    </x:row>
    <x:row r="31">
      <x:c r="A31" s="4" t="n">
        <x:v>600</x:v>
      </x:c>
      <x:c r="B31" s="4" t="n">
        <x:v>600</x:v>
      </x:c>
      <x:c r="C31" s="4" t="n">
        <x:v>2</x:v>
      </x:c>
      <x:c r="D31" s="12" t="n">
        <x:v>2e-09</x:v>
      </x:c>
      <x:c r="E31" s="4" t="inlineStr">
        <x:is>
          <x:t xml:space="preserve">145-455</x:t>
        </x:is>
      </x:c>
      <x:c r="F31" s="13" t="n">
        <x:v>689.6</x:v>
      </x:c>
      <x:c r="G31" s="14">
        <x:f>F31*Constants!$B$3</x:f>
        <x:v>1.1048610068064e-16</x:v>
      </x:c>
      <x:c r="H31" s="5" t="n">
        <x:v>-0.175225</x:v>
      </x:c>
      <x:c r="I31" s="5" t="n">
        <x:v>-0.190764</x:v>
      </x:c>
      <x:c r="J31" s="5" t="n">
        <x:v>672.02679</x:v>
      </x:c>
      <x:c r="K31" s="5" t="n">
        <x:v>673.709341</x:v>
      </x:c>
      <x:c r="L31" s="7">
        <x:f>Constants!$B$5/ABS(H31*1E10)</x:f>
        <x:v>5.021950714514602</x:v>
      </x:c>
      <x:c r="M31" s="7">
        <x:f>Constants!$B$5/ABS(I31*1E10)</x:f>
        <x:v>4.612879337562753</x:v>
      </x:c>
      <x:c r="N31" s="4" t="inlineStr">
        <x:is>
          <x:t xml:space="preserve"/>
        </x:is>
      </x:c>
    </x:row>
    <x:row r="32">
      <x:c r="A32" s="4" t="n">
        <x:v>600</x:v>
      </x:c>
      <x:c r="B32" s="4" t="n">
        <x:v>600</x:v>
      </x:c>
      <x:c r="C32" s="4" t="n">
        <x:v>3</x:v>
      </x:c>
      <x:c r="D32" s="12" t="n">
        <x:v>3e-09</x:v>
      </x:c>
      <x:c r="E32" s="4" t="inlineStr">
        <x:is>
          <x:t xml:space="preserve">145-455</x:t>
        </x:is>
      </x:c>
      <x:c r="F32" s="13" t="n">
        <x:v>1034.4</x:v>
      </x:c>
      <x:c r="G32" s="14">
        <x:f>F32*Constants!$B$3</x:f>
        <x:v>1.6572915102096e-16</x:v>
      </x:c>
      <x:c r="H32" s="5" t="n">
        <x:v>-0.223859</x:v>
      </x:c>
      <x:c r="I32" s="5" t="n">
        <x:v>-0.212691</x:v>
      </x:c>
      <x:c r="J32" s="5" t="n">
        <x:v>695.019665</x:v>
      </x:c>
      <x:c r="K32" s="5" t="n">
        <x:v>690.977527</x:v>
      </x:c>
      <x:c r="L32" s="7">
        <x:f>Constants!$B$5/ABS(H32*1E10)</x:f>
        <x:v>3.930917738178144</x:v>
      </x:c>
      <x:c r="M32" s="7">
        <x:f>Constants!$B$5/ABS(I32*1E10)</x:f>
        <x:v>4.137322754375226</x:v>
      </x:c>
      <x:c r="N32" s="4" t="inlineStr">
        <x:is>
          <x:t xml:space="preserve"/>
        </x:is>
      </x:c>
    </x:row>
    <x:row r="33">
      <x:c r="A33" s="4" t="n">
        <x:v>600</x:v>
      </x:c>
      <x:c r="B33" s="4" t="n">
        <x:v>600</x:v>
      </x:c>
      <x:c r="C33" s="4" t="n">
        <x:v>4</x:v>
      </x:c>
      <x:c r="D33" s="12" t="n">
        <x:v>4e-09</x:v>
      </x:c>
      <x:c r="E33" s="4" t="inlineStr">
        <x:is>
          <x:t xml:space="preserve">145-455</x:t>
        </x:is>
      </x:c>
      <x:c r="F33" s="13" t="n">
        <x:v>1379.2</x:v>
      </x:c>
      <x:c r="G33" s="14">
        <x:f>F33*Constants!$B$3</x:f>
        <x:v>2.2097220136128e-16</x:v>
      </x:c>
      <x:c r="H33" s="5" t="n">
        <x:v>-0.231627</x:v>
      </x:c>
      <x:c r="I33" s="5" t="n">
        <x:v>-0.209419</x:v>
      </x:c>
      <x:c r="J33" s="5" t="n">
        <x:v>705.941652</x:v>
      </x:c>
      <x:c r="K33" s="5" t="n">
        <x:v>698.604561</x:v>
      </x:c>
      <x:c r="L33" s="7">
        <x:f>Constants!$B$5/ABS(H33*1E10)</x:f>
        <x:v>3.7990878177018272</x:v>
      </x:c>
      <x:c r="M33" s="7">
        <x:f>Constants!$B$5/ABS(I33*1E10)</x:f>
        <x:v>4.201965026816197</x:v>
      </x:c>
      <x:c r="N33" s="4" t="inlineStr">
        <x:is>
          <x:t xml:space="preserve"/>
        </x:is>
      </x:c>
    </x:row>
    <x:row r="34">
      <x:c r="A34" s="4" t="n">
        <x:v>600</x:v>
      </x:c>
      <x:c r="B34" s="4" t="n">
        <x:v>900</x:v>
      </x:c>
      <x:c r="C34" s="4" t="n">
        <x:v>1</x:v>
      </x:c>
      <x:c r="D34" s="12" t="n">
        <x:v>1e-09</x:v>
      </x:c>
      <x:c r="E34" s="4" t="inlineStr">
        <x:is>
          <x:t xml:space="preserve">145-455</x:t>
        </x:is>
      </x:c>
      <x:c r="F34" s="13" t="n">
        <x:v>344.8</x:v>
      </x:c>
      <x:c r="G34" s="14">
        <x:f>F34*Constants!$B$3</x:f>
        <x:v>5.524305034032e-17</x:v>
      </x:c>
      <x:c r="H34" s="5" t="n">
        <x:v>-0.24057</x:v>
      </x:c>
      <x:c r="I34" s="5" t="n">
        <x:v>-0.231859</x:v>
      </x:c>
      <x:c r="J34" s="5" t="n">
        <x:v>981.901174</x:v>
      </x:c>
      <x:c r="K34" s="5" t="n">
        <x:v>978.378318</x:v>
      </x:c>
      <x:c r="L34" s="7">
        <x:f>Constants!$B$5/ABS(H34*1E10)</x:f>
        <x:v>3.657859724615792</x:v>
      </x:c>
      <x:c r="M34" s="7">
        <x:f>Constants!$B$5/ABS(I34*1E10)</x:f>
        <x:v>3.795286419551629</x:v>
      </x:c>
      <x:c r="N34" s="4" t="inlineStr">
        <x:is>
          <x:t xml:space="preserve"/>
        </x:is>
      </x:c>
    </x:row>
    <x:row r="35">
      <x:c r="A35" s="4" t="n">
        <x:v>600</x:v>
      </x:c>
      <x:c r="B35" s="4" t="n">
        <x:v>900</x:v>
      </x:c>
      <x:c r="C35" s="4" t="n">
        <x:v>2</x:v>
      </x:c>
      <x:c r="D35" s="12" t="n">
        <x:v>2e-09</x:v>
      </x:c>
      <x:c r="E35" s="4" t="inlineStr">
        <x:is>
          <x:t xml:space="preserve">145-455</x:t>
        </x:is>
      </x:c>
      <x:c r="F35" s="13" t="n">
        <x:v>689.6</x:v>
      </x:c>
      <x:c r="G35" s="14">
        <x:f>F35*Constants!$B$3</x:f>
        <x:v>1.1048610068064e-16</x:v>
      </x:c>
      <x:c r="H35" s="5" t="n">
        <x:v>-0.224157</x:v>
      </x:c>
      <x:c r="I35" s="5" t="n">
        <x:v>-0.188626</x:v>
      </x:c>
      <x:c r="J35" s="5" t="n">
        <x:v>987.679577</x:v>
      </x:c>
      <x:c r="K35" s="5" t="n">
        <x:v>977.474102</x:v>
      </x:c>
      <x:c r="L35" s="7">
        <x:f>Constants!$B$5/ABS(H35*1E10)</x:f>
        <x:v>3.925691876456328</x:v>
      </x:c>
      <x:c r="M35" s="7">
        <x:f>Constants!$B$5/ABS(I35*1E10)</x:f>
        <x:v>4.665164473353732</x:v>
      </x:c>
      <x:c r="N35" s="4" t="inlineStr">
        <x:is>
          <x:t xml:space="preserve"/>
        </x:is>
      </x:c>
    </x:row>
    <x:row r="36">
      <x:c r="A36" s="4" t="n">
        <x:v>600</x:v>
      </x:c>
      <x:c r="B36" s="4" t="n">
        <x:v>900</x:v>
      </x:c>
      <x:c r="C36" s="4" t="n">
        <x:v>3</x:v>
      </x:c>
      <x:c r="D36" s="12" t="n">
        <x:v>3e-09</x:v>
      </x:c>
      <x:c r="E36" s="4" t="inlineStr">
        <x:is>
          <x:t xml:space="preserve">145-455</x:t>
        </x:is>
      </x:c>
      <x:c r="F36" s="13" t="n">
        <x:v>1034.4</x:v>
      </x:c>
      <x:c r="G36" s="14">
        <x:f>F36*Constants!$B$3</x:f>
        <x:v>1.6572915102096e-16</x:v>
      </x:c>
      <x:c r="H36" s="5" t="n">
        <x:v>-0.215196</x:v>
      </x:c>
      <x:c r="I36" s="5" t="n">
        <x:v>-0.202167</x:v>
      </x:c>
      <x:c r="J36" s="5" t="n">
        <x:v>996.3488170000001</x:v>
      </x:c>
      <x:c r="K36" s="5" t="n">
        <x:v>992.9266270000001</x:v>
      </x:c>
      <x:c r="L36" s="7">
        <x:f>Constants!$B$5/ABS(H36*1E10)</x:f>
        <x:v>4.089162038099319</x:v>
      </x:c>
      <x:c r="M36" s="7">
        <x:f>Constants!$B$5/ABS(I36*1E10)</x:f>
        <x:v>4.3526951181489615</x:v>
      </x:c>
      <x:c r="N36" s="4" t="inlineStr">
        <x:is>
          <x:t xml:space="preserve"/>
        </x:is>
      </x:c>
    </x:row>
    <x:row r="37">
      <x:c r="A37" s="4" t="n">
        <x:v>600</x:v>
      </x:c>
      <x:c r="B37" s="4" t="n">
        <x:v>900</x:v>
      </x:c>
      <x:c r="C37" s="4" t="n">
        <x:v>4</x:v>
      </x:c>
      <x:c r="D37" s="12" t="n">
        <x:v>4e-09</x:v>
      </x:c>
      <x:c r="E37" s="4" t="inlineStr">
        <x:is>
          <x:t xml:space="preserve">145-455</x:t>
        </x:is>
      </x:c>
      <x:c r="F37" s="13" t="n">
        <x:v>1379.2</x:v>
      </x:c>
      <x:c r="G37" s="14">
        <x:f>F37*Constants!$B$3</x:f>
        <x:v>2.2097220136128e-16</x:v>
      </x:c>
      <x:c r="H37" s="5" t="n">
        <x:v>-0.211612</x:v>
      </x:c>
      <x:c r="I37" s="5" t="n">
        <x:v>-0.197349</x:v>
      </x:c>
      <x:c r="J37" s="5" t="n">
        <x:v>1009.35555</x:v>
      </x:c>
      <x:c r="K37" s="5" t="n">
        <x:v>1001.76199</x:v>
      </x:c>
      <x:c r="L37" s="7">
        <x:f>Constants!$B$5/ABS(H37*1E10)</x:f>
        <x:v>4.158418775640422</x:v>
      </x:c>
      <x:c r="M37" s="7">
        <x:f>Constants!$B$5/ABS(I37*1E10)</x:f>
        <x:v>4.458960085689926</x:v>
      </x:c>
      <x:c r="N37" s="4" t="inlineStr">
        <x:is>
          <x:t xml:space="preserve"/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d63a43904624550"/>
  </x:tableParts>
</x:worksheet>
</file>